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📥 Data Source" sheetId="1" r:id="rId1"/>
    <sheet name="📊 Par Automate" sheetId="2" r:id="rId2"/>
    <sheet name="🏢 Par Site" sheetId="3" r:id="rId3"/>
    <sheet name="👥 Porteur vs Non Porteur" sheetId="4" r:id="rId4"/>
    <sheet name="📅 Analyse par Jour" sheetId="5" r:id="rId5"/>
    <sheet name="📈 Graphiques" sheetId="6" r:id="rId6"/>
  </sheets>
  <calcPr calcId="124519" fullCalcOnLoad="1"/>
</workbook>
</file>

<file path=xl/sharedStrings.xml><?xml version="1.0" encoding="utf-8"?>
<sst xmlns="http://schemas.openxmlformats.org/spreadsheetml/2006/main" count="230" uniqueCount="91">
  <si>
    <t xml:space="preserve">  🏧   RETRAITS NON SERVIS — 2025   |   DATA SOURCE</t>
  </si>
  <si>
    <t xml:space="preserve">  Extraction : 02/06/2026   |   ⚠️  Colle tes données à partir de A5 — CTRL+V directement</t>
  </si>
  <si>
    <t>DATE_OPERATION
(DDMMYYYY)</t>
  </si>
  <si>
    <t>NUM_AUTOMATE</t>
  </si>
  <si>
    <t>LIB_SIT_
IMPLEMENTATION</t>
  </si>
  <si>
    <t>CODE_SITE_
IMPLEMENTATION</t>
  </si>
  <si>
    <t>TYPE_PORTEUR</t>
  </si>
  <si>
    <t>NB_RETRAIT_
NON_ABOUTIS</t>
  </si>
  <si>
    <t>MONTANT</t>
  </si>
  <si>
    <t>MOTIF</t>
  </si>
  <si>
    <t>15012025</t>
  </si>
  <si>
    <t>A001</t>
  </si>
  <si>
    <t>Agence Paris Centre</t>
  </si>
  <si>
    <t>SIT001</t>
  </si>
  <si>
    <t>Porteur</t>
  </si>
  <si>
    <t>22012025</t>
  </si>
  <si>
    <t>A002</t>
  </si>
  <si>
    <t>Agence Lyon Sud</t>
  </si>
  <si>
    <t>SIT002</t>
  </si>
  <si>
    <t>Non porteur</t>
  </si>
  <si>
    <t>03022025</t>
  </si>
  <si>
    <t>A003</t>
  </si>
  <si>
    <t>Agence Marseille</t>
  </si>
  <si>
    <t>SIT003</t>
  </si>
  <si>
    <t>14022025</t>
  </si>
  <si>
    <t>A004</t>
  </si>
  <si>
    <t>Agence Bordeaux</t>
  </si>
  <si>
    <t>SIT004</t>
  </si>
  <si>
    <t>28022025</t>
  </si>
  <si>
    <t>A005</t>
  </si>
  <si>
    <t>Agence Nantes</t>
  </si>
  <si>
    <t>SIT005</t>
  </si>
  <si>
    <t>10032025</t>
  </si>
  <si>
    <t>25032025</t>
  </si>
  <si>
    <t>02042025</t>
  </si>
  <si>
    <t>18042025</t>
  </si>
  <si>
    <t>05052025</t>
  </si>
  <si>
    <t>12052025</t>
  </si>
  <si>
    <t>28052025</t>
  </si>
  <si>
    <t>04062025</t>
  </si>
  <si>
    <t>19062025</t>
  </si>
  <si>
    <t>30062025</t>
  </si>
  <si>
    <t>⚠️  Supprime les lignes exemple (5 à 19), colle tes données en A5 directement avec CTRL+V</t>
  </si>
  <si>
    <t xml:space="preserve">  📊   ANALYSE PAR AUTOMATE</t>
  </si>
  <si>
    <t xml:space="preserve">  Extraction : 02/06/2026   |   Résultats calculés automatiquement depuis Data Source</t>
  </si>
  <si>
    <t>⚡  INDICATEURS CLÉS GLOBAUX</t>
  </si>
  <si>
    <t>Total
Lignes</t>
  </si>
  <si>
    <t>Nb Retraits
Non Aboutis</t>
  </si>
  <si>
    <t>Montant
Total (€)</t>
  </si>
  <si>
    <t>Ops
Porteurs</t>
  </si>
  <si>
    <t>Retraits
Porteurs</t>
  </si>
  <si>
    <t>Montant
Porteurs (€)</t>
  </si>
  <si>
    <t>📋  RÉCAPITULATIF PAR NUM_AUTOMATE</t>
  </si>
  <si>
    <t>LIB SITE
IMPLEMENTATION</t>
  </si>
  <si>
    <t>NB RETRAITS
NON ABOUTIS</t>
  </si>
  <si>
    <t>MONTANT
TOTAL (€)</t>
  </si>
  <si>
    <t>NB OPS
PORTEURS</t>
  </si>
  <si>
    <t>NB OPS
NON PORTEURS</t>
  </si>
  <si>
    <t>TOTAL</t>
  </si>
  <si>
    <t xml:space="preserve">  🏢   ANALYSE PAR SITE D'IMPLÉMENTATION</t>
  </si>
  <si>
    <t>📋  RÉCAPITULATIF PAR CODE_SITE_IMPLEMENTATION</t>
  </si>
  <si>
    <t>CODE SITE</t>
  </si>
  <si>
    <t>LIB SITE</t>
  </si>
  <si>
    <t xml:space="preserve">  👥   PORTEUR vs NON PORTEUR — COMPARATIF</t>
  </si>
  <si>
    <t>📊  SYNTHÈSE COMPARÉE</t>
  </si>
  <si>
    <t>INDICATEUR</t>
  </si>
  <si>
    <t>PORTEUR</t>
  </si>
  <si>
    <t>NON PORTEUR</t>
  </si>
  <si>
    <t>% PORTEURS</t>
  </si>
  <si>
    <t>Nb Lignes</t>
  </si>
  <si>
    <t>Nb Retraits Non Aboutis</t>
  </si>
  <si>
    <t>Montant Total (€)</t>
  </si>
  <si>
    <t>Montant Moyen / Retrait (€)</t>
  </si>
  <si>
    <t>📋  DÉTAIL PAR AUTOMATE × TYPE PORTEUR</t>
  </si>
  <si>
    <t>NB RETRAITS
PORTEUR</t>
  </si>
  <si>
    <t>NB RETRAITS
NON PORTEUR</t>
  </si>
  <si>
    <t>MNT PORTEUR
(€)</t>
  </si>
  <si>
    <t>MNT NON PORTEUR
(€)</t>
  </si>
  <si>
    <t xml:space="preserve">  📅   ANALYSE JOURNALIÈRE — 2025</t>
  </si>
  <si>
    <t xml:space="preserve">  Extraction : 02/06/2026   |   Format date : DDMMYYYY</t>
  </si>
  <si>
    <t>📆  RÉCAPITULATIF PAR JOUR</t>
  </si>
  <si>
    <t>DATE
(DDMMYYYY)</t>
  </si>
  <si>
    <t xml:space="preserve">  📈   TABLEAUX DE BORD — RETRAITS NON SERVIS 2025</t>
  </si>
  <si>
    <t xml:space="preserve">  Graphiques mis à jour automatiquement   |   02/06/2026</t>
  </si>
  <si>
    <t xml:space="preserve">  📊  NB RETRAITS NON ABOUTIS PAR AUTOMATE</t>
  </si>
  <si>
    <t xml:space="preserve">  🥧  PORTEUR vs NON PORTEUR</t>
  </si>
  <si>
    <t xml:space="preserve">  📈  ÉVOLUTION JOURNALIÈRE DES MONTANTS</t>
  </si>
  <si>
    <t>AUTOMATE</t>
  </si>
  <si>
    <t>NB_RETRAITS</t>
  </si>
  <si>
    <t>TYPE</t>
  </si>
  <si>
    <t>DATE</t>
  </si>
</sst>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8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rgb="FF1A1A1A"/>
      <name val="Calibri"/>
      <family val="2"/>
      <scheme val="minor"/>
    </font>
    <font>
      <i/>
      <sz val="9"/>
      <color rgb="FF717D7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B4F72"/>
      <name val="Calibri"/>
      <family val="2"/>
      <scheme val="minor"/>
    </font>
    <font>
      <b/>
      <sz val="10"/>
      <color rgb="FF148F77"/>
      <name val="Calibri"/>
      <family val="2"/>
      <scheme val="minor"/>
    </font>
    <font>
      <b/>
      <sz val="10"/>
      <color rgb="FFCA6F1E"/>
      <name val="Calibri"/>
      <family val="2"/>
      <scheme val="minor"/>
    </font>
    <font>
      <i/>
      <sz val="9"/>
      <color rgb="FFCA6F1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0D1B2A"/>
      <name val="Calibri"/>
      <family val="2"/>
      <scheme val="minor"/>
    </font>
    <font>
      <b/>
      <sz val="10"/>
      <color rgb="FF1A1A1A"/>
      <name val="Calibri"/>
      <family val="2"/>
      <scheme val="minor"/>
    </font>
    <font>
      <b/>
      <sz val="12"/>
      <color rgb="FF148F77"/>
      <name val="Calibri"/>
      <family val="2"/>
      <scheme val="minor"/>
    </font>
    <font>
      <b/>
      <sz val="12"/>
      <color rgb="FFCA6F1E"/>
      <name val="Calibri"/>
      <family val="2"/>
      <scheme val="minor"/>
    </font>
    <font>
      <b/>
      <sz val="12"/>
      <color rgb="FF1B4F72"/>
      <name val="Calibri"/>
      <family val="2"/>
      <scheme val="minor"/>
    </font>
    <font>
      <b/>
      <sz val="12"/>
      <color rgb="FF717D7E"/>
      <name val="Calibri"/>
      <family val="2"/>
      <scheme val="minor"/>
    </font>
    <font>
      <b/>
      <sz val="10"/>
      <color rgb="FF8E44AD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D1B2A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6F7"/>
        <bgColor indexed="64"/>
      </patternFill>
    </fill>
    <fill>
      <patternFill patternType="solid">
        <fgColor rgb="FFD1F2EB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1B4F72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148F77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C0392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left" vertical="center"/>
    </xf>
    <xf numFmtId="0" fontId="2" fillId="9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/>
    </xf>
    <xf numFmtId="164" fontId="11" fillId="10" borderId="2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left" vertical="center"/>
    </xf>
    <xf numFmtId="0" fontId="4" fillId="11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164" fontId="9" fillId="11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165" fontId="16" fillId="5" borderId="1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164" fontId="14" fillId="7" borderId="1" xfId="0" applyNumberFormat="1" applyFont="1" applyFill="1" applyBorder="1" applyAlignment="1">
      <alignment horizontal="center" vertical="center"/>
    </xf>
    <xf numFmtId="164" fontId="15" fillId="10" borderId="1" xfId="0" applyNumberFormat="1" applyFont="1" applyFill="1" applyBorder="1" applyAlignment="1">
      <alignment horizontal="center" vertical="center"/>
    </xf>
    <xf numFmtId="0" fontId="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left" vertical="center"/>
    </xf>
    <xf numFmtId="0" fontId="4" fillId="12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0D1B2A"/>
                </a:solidFill>
              </a:defRPr>
            </a:pPr>
            <a:r>
              <a:rPr lang="en-US" sz="1200" b="1" baseline="0">
                <a:solidFill>
                  <a:srgbClr val="0D1B2A"/>
                </a:solidFill>
              </a:rPr>
              <a:t>Nb Retraits Non Aboutis par Automate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Nb Retraits Non Aboutis</c:v>
          </c:tx>
          <c:spPr>
            <a:solidFill>
              <a:srgbClr val="2E86C1"/>
            </a:solidFill>
            <a:ln>
              <a:solidFill>
                <a:srgbClr val="1B4F72"/>
              </a:solidFill>
            </a:ln>
          </c:spPr>
          <c:dLbls>
            <c:txPr>
              <a:bodyPr/>
              <a:lstStyle/>
              <a:p>
                <a:pPr>
                  <a:defRPr sz="1100" b="1" baseline="0">
                    <a:solidFill>
                      <a:srgbClr val="1B4F72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'📈 Graphiques'!$R$2:$R$6</c:f>
              <c:strCache>
                <c:ptCount val="5"/>
                <c:pt idx="0">
                  <c:v>A001</c:v>
                </c:pt>
                <c:pt idx="1">
                  <c:v>A002</c:v>
                </c:pt>
                <c:pt idx="2">
                  <c:v>A003</c:v>
                </c:pt>
                <c:pt idx="3">
                  <c:v>A004</c:v>
                </c:pt>
                <c:pt idx="4">
                  <c:v>A005</c:v>
                </c:pt>
              </c:strCache>
            </c:strRef>
          </c:cat>
          <c:val>
            <c:numRef>
              <c:f>'📈 Graphiques'!$S$2:$S$6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Automate</a:t>
                </a:r>
              </a:p>
            </c:rich>
          </c:tx>
          <c:layout/>
        </c:title>
        <c:tickLblPos val="nextTo"/>
        <c:spPr>
          <a:ln>
            <a:solidFill>
              <a:srgbClr val="BDC3C7"/>
            </a:solidFill>
          </a:ln>
        </c:spPr>
        <c:txPr>
          <a:bodyPr/>
          <a:lstStyle/>
          <a:p>
            <a:pPr>
              <a:defRPr sz="1000" b="1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BF5F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Nb Retraits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</c:spPr>
    </c:plotArea>
    <c:plotVisOnly val="1"/>
  </c:chart>
  <c:spPr>
    <a:solidFill>
      <a:srgbClr val="FAFCFF"/>
    </a:solidFill>
    <a:ln>
      <a:solidFill>
        <a:srgbClr val="BDC3C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0D1B2A"/>
                </a:solidFill>
              </a:defRPr>
            </a:pPr>
            <a:r>
              <a:rPr lang="en-US" sz="1200" b="1" baseline="0">
                <a:solidFill>
                  <a:srgbClr val="0D1B2A"/>
                </a:solidFill>
              </a:rPr>
              <a:t>Porteur vs Non Porteur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Porteur vs Non Porteur</c:v>
          </c:tx>
          <c:dPt>
            <c:idx val="0"/>
            <c:spPr>
              <a:solidFill>
                <a:srgbClr val="148F77"/>
              </a:solidFill>
            </c:spPr>
          </c:dPt>
          <c:dPt>
            <c:idx val="1"/>
            <c:spPr>
              <a:solidFill>
                <a:srgbClr val="CA6F1E"/>
              </a:solidFill>
            </c:spPr>
          </c:dPt>
          <c:dLbls>
            <c:txPr>
              <a:bodyPr/>
              <a:lstStyle/>
              <a:p>
                <a:pPr>
                  <a:defRPr sz="1200" b="1" baseline="0"/>
                </a:pPr>
                <a:endParaRPr lang="en-US"/>
              </a:p>
            </c:txPr>
            <c:showCatName val="1"/>
            <c:showPercent val="1"/>
            <c:separator>
</c:separator>
          </c:dLbls>
          <c:cat>
            <c:strRef>
              <c:f>'📈 Graphiques'!$U$2:$U$3</c:f>
              <c:strCache>
                <c:ptCount val="2"/>
                <c:pt idx="0">
                  <c:v>Porteur</c:v>
                </c:pt>
                <c:pt idx="1">
                  <c:v>Non porteur</c:v>
                </c:pt>
              </c:strCache>
            </c:strRef>
          </c:cat>
          <c:val>
            <c:numRef>
              <c:f>'📈 Graphiques'!$V$2:$V$3</c:f>
              <c:numCache>
                <c:formatCode>General</c:formatCode>
                <c:ptCount val="2"/>
                <c:pt idx="0">
                  <c:v>12</c:v>
                </c:pt>
                <c:pt idx="1">
                  <c:v>9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 sz="1000" baseline="0"/>
          </a:pPr>
          <a:endParaRPr lang="en-US"/>
        </a:p>
      </c:txPr>
    </c:legend>
    <c:plotVisOnly val="1"/>
  </c:chart>
  <c:spPr>
    <a:solidFill>
      <a:srgbClr val="FAFCFF"/>
    </a:solidFill>
    <a:ln>
      <a:solidFill>
        <a:srgbClr val="BDC3C7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="1" baseline="0">
                <a:solidFill>
                  <a:srgbClr val="0D1B2A"/>
                </a:solidFill>
              </a:defRPr>
            </a:pPr>
            <a:r>
              <a:rPr lang="en-US" sz="1200" b="1" baseline="0">
                <a:solidFill>
                  <a:srgbClr val="0D1B2A"/>
                </a:solidFill>
              </a:rPr>
              <a:t>Évolution journalière des montants (€)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Montant journalier (€)</c:v>
          </c:tx>
          <c:spPr>
            <a:ln w="31750">
              <a:solidFill>
                <a:srgbClr val="8E44AD"/>
              </a:solidFill>
            </a:ln>
          </c:spPr>
          <c:marker>
            <c:symbol val="circle"/>
            <c:size val="6"/>
            <c:spPr>
              <a:solidFill>
                <a:srgbClr val="8E44AD"/>
              </a:solidFill>
              <a:ln>
                <a:solidFill>
                  <a:srgbClr val="6C3483"/>
                </a:solidFill>
              </a:ln>
            </c:spPr>
          </c:marker>
          <c:cat>
            <c:numRef>
              <c:f>'📈 Graphiques'!$X$2:$X$16</c:f>
              <c:numCache>
                <c:formatCode>General</c:formatCode>
                <c:ptCount val="15"/>
                <c:pt idx="0">
                  <c:v>15012025</c:v>
                </c:pt>
                <c:pt idx="1">
                  <c:v>22012025</c:v>
                </c:pt>
                <c:pt idx="2">
                  <c:v>03022025</c:v>
                </c:pt>
                <c:pt idx="3">
                  <c:v>14022025</c:v>
                </c:pt>
                <c:pt idx="4">
                  <c:v>28022025</c:v>
                </c:pt>
                <c:pt idx="5">
                  <c:v>10032025</c:v>
                </c:pt>
                <c:pt idx="6">
                  <c:v>25032025</c:v>
                </c:pt>
                <c:pt idx="7">
                  <c:v>02042025</c:v>
                </c:pt>
                <c:pt idx="8">
                  <c:v>18042025</c:v>
                </c:pt>
                <c:pt idx="9">
                  <c:v>05052025</c:v>
                </c:pt>
                <c:pt idx="10">
                  <c:v>12052025</c:v>
                </c:pt>
                <c:pt idx="11">
                  <c:v>28052025</c:v>
                </c:pt>
                <c:pt idx="12">
                  <c:v>04062025</c:v>
                </c:pt>
                <c:pt idx="13">
                  <c:v>19062025</c:v>
                </c:pt>
                <c:pt idx="14">
                  <c:v>30062025</c:v>
                </c:pt>
              </c:numCache>
            </c:numRef>
          </c:cat>
          <c:val>
            <c:numRef>
              <c:f>'📈 Graphiques'!$Y$2:$Y$16</c:f>
              <c:numCache>
                <c:formatCode>General</c:formatCode>
                <c:ptCount val="15"/>
                <c:pt idx="0">
                  <c:v>250</c:v>
                </c:pt>
                <c:pt idx="1">
                  <c:v>100</c:v>
                </c:pt>
                <c:pt idx="2">
                  <c:v>500</c:v>
                </c:pt>
                <c:pt idx="3">
                  <c:v>300</c:v>
                </c:pt>
                <c:pt idx="4">
                  <c:v>150</c:v>
                </c:pt>
                <c:pt idx="5">
                  <c:v>200</c:v>
                </c:pt>
                <c:pt idx="6">
                  <c:v>450</c:v>
                </c:pt>
                <c:pt idx="7">
                  <c:v>350</c:v>
                </c:pt>
                <c:pt idx="8">
                  <c:v>600</c:v>
                </c:pt>
                <c:pt idx="9">
                  <c:v>275</c:v>
                </c:pt>
                <c:pt idx="10">
                  <c:v>180</c:v>
                </c:pt>
                <c:pt idx="11">
                  <c:v>420</c:v>
                </c:pt>
                <c:pt idx="12">
                  <c:v>310</c:v>
                </c:pt>
                <c:pt idx="13">
                  <c:v>540</c:v>
                </c:pt>
                <c:pt idx="14">
                  <c:v>220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BDC3C7"/>
            </a:solidFill>
          </a:ln>
        </c:spPr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F0F3F4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Montant (€)</a:t>
                </a:r>
              </a:p>
            </c:rich>
          </c:tx>
          <c:layout/>
        </c:title>
        <c:numFmt formatCode="#,##0 €" sourceLinked="0"/>
        <c:tickLblPos val="nextTo"/>
        <c:crossAx val="5003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1000" baseline="0"/>
          </a:pPr>
          <a:endParaRPr lang="en-US"/>
        </a:p>
      </c:txPr>
    </c:legend>
    <c:plotVisOnly val="1"/>
  </c:chart>
  <c:spPr>
    <a:solidFill>
      <a:srgbClr val="FAFCFF"/>
    </a:solidFill>
    <a:ln>
      <a:solidFill>
        <a:srgbClr val="BDC3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381000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14</xdr:col>
      <xdr:colOff>381000</xdr:colOff>
      <xdr:row>19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13</xdr:col>
      <xdr:colOff>142875</xdr:colOff>
      <xdr:row>38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D1B2A"/>
  </sheetPr>
  <dimension ref="A1:H21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8.7109375" customWidth="1"/>
    <col min="3" max="3" width="28.7109375" customWidth="1"/>
    <col min="4" max="4" width="24.7109375" customWidth="1"/>
    <col min="5" max="5" width="16.7109375" customWidth="1"/>
    <col min="6" max="6" width="20.7109375" customWidth="1"/>
    <col min="7" max="7" width="14.7109375" customWidth="1"/>
    <col min="8" max="8" width="18.7109375" customWidth="1"/>
  </cols>
  <sheetData>
    <row r="1" spans="1:8" ht="42" customHeight="1">
      <c r="A1" s="1" t="s">
        <v>0</v>
      </c>
      <c r="B1" s="2"/>
      <c r="C1" s="2"/>
      <c r="D1" s="2"/>
      <c r="E1" s="2"/>
      <c r="F1" s="2"/>
      <c r="G1" s="2"/>
      <c r="H1" s="2"/>
    </row>
    <row r="2" spans="1:8" ht="18" customHeight="1">
      <c r="A2" s="3" t="s">
        <v>1</v>
      </c>
      <c r="B2" s="4"/>
      <c r="C2" s="4"/>
      <c r="D2" s="4"/>
      <c r="E2" s="4"/>
      <c r="F2" s="4"/>
      <c r="G2" s="4"/>
      <c r="H2" s="4"/>
    </row>
    <row r="3" spans="1:8" ht="6" customHeight="1">
      <c r="A3" s="5"/>
      <c r="B3" s="5"/>
      <c r="C3" s="5"/>
      <c r="D3" s="5"/>
      <c r="E3" s="5"/>
      <c r="F3" s="5"/>
      <c r="G3" s="5"/>
      <c r="H3" s="5"/>
    </row>
    <row r="4" spans="1:8" ht="36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</row>
    <row r="5" spans="1:8" ht="20" customHeight="1">
      <c r="A5" s="7" t="s">
        <v>10</v>
      </c>
      <c r="B5" s="8" t="s">
        <v>11</v>
      </c>
      <c r="C5" s="9" t="s">
        <v>12</v>
      </c>
      <c r="D5" s="7" t="s">
        <v>13</v>
      </c>
      <c r="E5" s="10" t="s">
        <v>14</v>
      </c>
      <c r="F5" s="7">
        <v>1</v>
      </c>
      <c r="G5" s="11">
        <v>250</v>
      </c>
      <c r="H5" s="7"/>
    </row>
    <row r="6" spans="1:8" ht="20" customHeight="1">
      <c r="A6" s="12" t="s">
        <v>15</v>
      </c>
      <c r="B6" s="13" t="s">
        <v>16</v>
      </c>
      <c r="C6" s="14" t="s">
        <v>17</v>
      </c>
      <c r="D6" s="12" t="s">
        <v>18</v>
      </c>
      <c r="E6" s="15" t="s">
        <v>19</v>
      </c>
      <c r="F6" s="12">
        <v>1</v>
      </c>
      <c r="G6" s="16">
        <v>100</v>
      </c>
      <c r="H6" s="12"/>
    </row>
    <row r="7" spans="1:8" ht="20" customHeight="1">
      <c r="A7" s="7" t="s">
        <v>20</v>
      </c>
      <c r="B7" s="8" t="s">
        <v>21</v>
      </c>
      <c r="C7" s="9" t="s">
        <v>22</v>
      </c>
      <c r="D7" s="7" t="s">
        <v>23</v>
      </c>
      <c r="E7" s="10" t="s">
        <v>14</v>
      </c>
      <c r="F7" s="7">
        <v>2</v>
      </c>
      <c r="G7" s="11">
        <v>500</v>
      </c>
      <c r="H7" s="7"/>
    </row>
    <row r="8" spans="1:8" ht="20" customHeight="1">
      <c r="A8" s="12" t="s">
        <v>24</v>
      </c>
      <c r="B8" s="13" t="s">
        <v>25</v>
      </c>
      <c r="C8" s="14" t="s">
        <v>26</v>
      </c>
      <c r="D8" s="12" t="s">
        <v>27</v>
      </c>
      <c r="E8" s="15" t="s">
        <v>19</v>
      </c>
      <c r="F8" s="12">
        <v>1</v>
      </c>
      <c r="G8" s="16">
        <v>300</v>
      </c>
      <c r="H8" s="12"/>
    </row>
    <row r="9" spans="1:8" ht="20" customHeight="1">
      <c r="A9" s="7" t="s">
        <v>28</v>
      </c>
      <c r="B9" s="8" t="s">
        <v>29</v>
      </c>
      <c r="C9" s="9" t="s">
        <v>30</v>
      </c>
      <c r="D9" s="7" t="s">
        <v>31</v>
      </c>
      <c r="E9" s="10" t="s">
        <v>14</v>
      </c>
      <c r="F9" s="7">
        <v>1</v>
      </c>
      <c r="G9" s="11">
        <v>150</v>
      </c>
      <c r="H9" s="7"/>
    </row>
    <row r="10" spans="1:8" ht="20" customHeight="1">
      <c r="A10" s="12" t="s">
        <v>32</v>
      </c>
      <c r="B10" s="13" t="s">
        <v>11</v>
      </c>
      <c r="C10" s="14" t="s">
        <v>12</v>
      </c>
      <c r="D10" s="12" t="s">
        <v>13</v>
      </c>
      <c r="E10" s="15" t="s">
        <v>19</v>
      </c>
      <c r="F10" s="12">
        <v>1</v>
      </c>
      <c r="G10" s="16">
        <v>200</v>
      </c>
      <c r="H10" s="12"/>
    </row>
    <row r="11" spans="1:8" ht="20" customHeight="1">
      <c r="A11" s="7" t="s">
        <v>33</v>
      </c>
      <c r="B11" s="8" t="s">
        <v>16</v>
      </c>
      <c r="C11" s="9" t="s">
        <v>17</v>
      </c>
      <c r="D11" s="7" t="s">
        <v>18</v>
      </c>
      <c r="E11" s="10" t="s">
        <v>14</v>
      </c>
      <c r="F11" s="7">
        <v>2</v>
      </c>
      <c r="G11" s="11">
        <v>450</v>
      </c>
      <c r="H11" s="7"/>
    </row>
    <row r="12" spans="1:8" ht="20" customHeight="1">
      <c r="A12" s="12" t="s">
        <v>34</v>
      </c>
      <c r="B12" s="13" t="s">
        <v>21</v>
      </c>
      <c r="C12" s="14" t="s">
        <v>22</v>
      </c>
      <c r="D12" s="12" t="s">
        <v>23</v>
      </c>
      <c r="E12" s="15" t="s">
        <v>19</v>
      </c>
      <c r="F12" s="12">
        <v>1</v>
      </c>
      <c r="G12" s="16">
        <v>350</v>
      </c>
      <c r="H12" s="12"/>
    </row>
    <row r="13" spans="1:8" ht="20" customHeight="1">
      <c r="A13" s="7" t="s">
        <v>35</v>
      </c>
      <c r="B13" s="8" t="s">
        <v>25</v>
      </c>
      <c r="C13" s="9" t="s">
        <v>26</v>
      </c>
      <c r="D13" s="7" t="s">
        <v>27</v>
      </c>
      <c r="E13" s="10" t="s">
        <v>14</v>
      </c>
      <c r="F13" s="7">
        <v>3</v>
      </c>
      <c r="G13" s="11">
        <v>600</v>
      </c>
      <c r="H13" s="7"/>
    </row>
    <row r="14" spans="1:8" ht="20" customHeight="1">
      <c r="A14" s="12" t="s">
        <v>36</v>
      </c>
      <c r="B14" s="13" t="s">
        <v>29</v>
      </c>
      <c r="C14" s="14" t="s">
        <v>30</v>
      </c>
      <c r="D14" s="12" t="s">
        <v>31</v>
      </c>
      <c r="E14" s="15" t="s">
        <v>19</v>
      </c>
      <c r="F14" s="12">
        <v>1</v>
      </c>
      <c r="G14" s="16">
        <v>275</v>
      </c>
      <c r="H14" s="12"/>
    </row>
    <row r="15" spans="1:8" ht="20" customHeight="1">
      <c r="A15" s="7" t="s">
        <v>37</v>
      </c>
      <c r="B15" s="8" t="s">
        <v>11</v>
      </c>
      <c r="C15" s="9" t="s">
        <v>12</v>
      </c>
      <c r="D15" s="7" t="s">
        <v>13</v>
      </c>
      <c r="E15" s="10" t="s">
        <v>14</v>
      </c>
      <c r="F15" s="7">
        <v>1</v>
      </c>
      <c r="G15" s="11">
        <v>180</v>
      </c>
      <c r="H15" s="7"/>
    </row>
    <row r="16" spans="1:8" ht="20" customHeight="1">
      <c r="A16" s="12" t="s">
        <v>38</v>
      </c>
      <c r="B16" s="13" t="s">
        <v>16</v>
      </c>
      <c r="C16" s="14" t="s">
        <v>17</v>
      </c>
      <c r="D16" s="12" t="s">
        <v>18</v>
      </c>
      <c r="E16" s="15" t="s">
        <v>19</v>
      </c>
      <c r="F16" s="12">
        <v>2</v>
      </c>
      <c r="G16" s="16">
        <v>420</v>
      </c>
      <c r="H16" s="12"/>
    </row>
    <row r="17" spans="1:8" ht="20" customHeight="1">
      <c r="A17" s="7" t="s">
        <v>39</v>
      </c>
      <c r="B17" s="8" t="s">
        <v>21</v>
      </c>
      <c r="C17" s="9" t="s">
        <v>22</v>
      </c>
      <c r="D17" s="7" t="s">
        <v>23</v>
      </c>
      <c r="E17" s="10" t="s">
        <v>14</v>
      </c>
      <c r="F17" s="7">
        <v>1</v>
      </c>
      <c r="G17" s="11">
        <v>310</v>
      </c>
      <c r="H17" s="7"/>
    </row>
    <row r="18" spans="1:8" ht="20" customHeight="1">
      <c r="A18" s="12" t="s">
        <v>40</v>
      </c>
      <c r="B18" s="13" t="s">
        <v>25</v>
      </c>
      <c r="C18" s="14" t="s">
        <v>26</v>
      </c>
      <c r="D18" s="12" t="s">
        <v>27</v>
      </c>
      <c r="E18" s="15" t="s">
        <v>19</v>
      </c>
      <c r="F18" s="12">
        <v>2</v>
      </c>
      <c r="G18" s="16">
        <v>540</v>
      </c>
      <c r="H18" s="12"/>
    </row>
    <row r="19" spans="1:8" ht="20" customHeight="1">
      <c r="A19" s="7" t="s">
        <v>41</v>
      </c>
      <c r="B19" s="8" t="s">
        <v>29</v>
      </c>
      <c r="C19" s="9" t="s">
        <v>30</v>
      </c>
      <c r="D19" s="7" t="s">
        <v>31</v>
      </c>
      <c r="E19" s="10" t="s">
        <v>14</v>
      </c>
      <c r="F19" s="7">
        <v>1</v>
      </c>
      <c r="G19" s="11">
        <v>220</v>
      </c>
      <c r="H19" s="7"/>
    </row>
    <row r="21" spans="1:8">
      <c r="A21" s="17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4F72"/>
  </sheetPr>
  <dimension ref="A1:F15"/>
  <sheetViews>
    <sheetView showGridLines="0" workbookViewId="0">
      <pane ySplit="9" topLeftCell="A10" activePane="bottomLeft" state="frozen"/>
      <selection pane="bottomLeft"/>
    </sheetView>
  </sheetViews>
  <sheetFormatPr defaultRowHeight="15"/>
  <cols>
    <col min="1" max="6" width="18.7109375" customWidth="1"/>
  </cols>
  <sheetData>
    <row r="1" spans="1:6" ht="42" customHeight="1">
      <c r="A1" s="18" t="s">
        <v>43</v>
      </c>
      <c r="B1" s="19"/>
      <c r="C1" s="19"/>
      <c r="D1" s="19"/>
      <c r="E1" s="19"/>
      <c r="F1" s="19"/>
    </row>
    <row r="2" spans="1:6" ht="18" customHeight="1">
      <c r="A2" s="3" t="s">
        <v>44</v>
      </c>
      <c r="B2" s="4"/>
      <c r="C2" s="4"/>
      <c r="D2" s="4"/>
      <c r="E2" s="4"/>
      <c r="F2" s="4"/>
    </row>
    <row r="3" spans="1:6" ht="6" customHeight="1">
      <c r="A3" s="5"/>
      <c r="B3" s="5"/>
      <c r="C3" s="5"/>
      <c r="D3" s="5"/>
      <c r="E3" s="5"/>
      <c r="F3" s="5"/>
    </row>
    <row r="4" spans="1:6" ht="26" customHeight="1">
      <c r="A4" s="20" t="s">
        <v>45</v>
      </c>
      <c r="B4" s="21"/>
      <c r="C4" s="21"/>
      <c r="D4" s="21"/>
      <c r="E4" s="21"/>
      <c r="F4" s="21"/>
    </row>
    <row r="5" spans="1:6" ht="30" customHeight="1">
      <c r="A5" s="22" t="s">
        <v>46</v>
      </c>
      <c r="B5" s="22" t="s">
        <v>47</v>
      </c>
      <c r="C5" s="22" t="s">
        <v>48</v>
      </c>
      <c r="D5" s="22" t="s">
        <v>49</v>
      </c>
      <c r="E5" s="22" t="s">
        <v>50</v>
      </c>
      <c r="F5" s="22" t="s">
        <v>51</v>
      </c>
    </row>
    <row r="6" spans="1:6" ht="38" customHeight="1">
      <c r="A6" s="23">
        <f>COUNTA('📥 Data Source'!B5:B5000)</f>
        <v>0</v>
      </c>
      <c r="B6" s="23">
        <f>SUM('📥 Data Source'!F5:F5000)</f>
        <v>0</v>
      </c>
      <c r="C6" s="24">
        <f>SUM('📥 Data Source'!G5:G5000)</f>
        <v>0</v>
      </c>
      <c r="D6" s="23">
        <f>COUNTIF('📥 Data Source'!E5:E5000,"Porteur")</f>
        <v>0</v>
      </c>
      <c r="E6" s="23">
        <f>SUMIF('📥 Data Source'!E5:E5000,"Porteur",'📥 Data Source'!F5:F5000)</f>
        <v>0</v>
      </c>
      <c r="F6" s="24">
        <f>SUMIF('📥 Data Source'!E5:E5000,"Porteur",'📥 Data Source'!G5:G5000)</f>
        <v>0</v>
      </c>
    </row>
    <row r="7" spans="1:6" ht="10" customHeight="1"/>
    <row r="8" spans="1:6" ht="26" customHeight="1">
      <c r="A8" s="25" t="s">
        <v>52</v>
      </c>
      <c r="B8" s="19"/>
      <c r="C8" s="19"/>
      <c r="D8" s="19"/>
      <c r="E8" s="19"/>
      <c r="F8" s="19"/>
    </row>
    <row r="9" spans="1:6" ht="34" customHeight="1">
      <c r="A9" s="6" t="s">
        <v>3</v>
      </c>
      <c r="B9" s="6" t="s">
        <v>53</v>
      </c>
      <c r="C9" s="6" t="s">
        <v>54</v>
      </c>
      <c r="D9" s="6" t="s">
        <v>55</v>
      </c>
      <c r="E9" s="6" t="s">
        <v>56</v>
      </c>
      <c r="F9" s="6" t="s">
        <v>57</v>
      </c>
    </row>
    <row r="10" spans="1:6" ht="22" customHeight="1">
      <c r="A10" s="8" t="s">
        <v>11</v>
      </c>
      <c r="B10" s="9" t="s">
        <v>12</v>
      </c>
      <c r="C10" s="7">
        <f>SUMIF('📥 Data Source'!B5:B5000,"A001",'📥 Data Source'!F5:F5000)</f>
        <v>0</v>
      </c>
      <c r="D10" s="11">
        <f>SUMIF('📥 Data Source'!B5:B5000,"A001",'📥 Data Source'!G5:G5000)</f>
        <v>0</v>
      </c>
      <c r="E10" s="7">
        <f>COUNTIFS('📥 Data Source'!B5:B5000,"A001",'📥 Data Source'!E5:E5000,"Porteur")</f>
        <v>0</v>
      </c>
      <c r="F10" s="7">
        <f>COUNTIFS('📥 Data Source'!B5:B5000,"A001",'📥 Data Source'!E5:E5000,"Non porteur")</f>
        <v>0</v>
      </c>
    </row>
    <row r="11" spans="1:6" ht="22" customHeight="1">
      <c r="A11" s="13" t="s">
        <v>16</v>
      </c>
      <c r="B11" s="14" t="s">
        <v>17</v>
      </c>
      <c r="C11" s="12">
        <f>SUMIF('📥 Data Source'!B5:B5000,"A002",'📥 Data Source'!F5:F5000)</f>
        <v>0</v>
      </c>
      <c r="D11" s="16">
        <f>SUMIF('📥 Data Source'!B5:B5000,"A002",'📥 Data Source'!G5:G5000)</f>
        <v>0</v>
      </c>
      <c r="E11" s="12">
        <f>COUNTIFS('📥 Data Source'!B5:B5000,"A002",'📥 Data Source'!E5:E5000,"Porteur")</f>
        <v>0</v>
      </c>
      <c r="F11" s="12">
        <f>COUNTIFS('📥 Data Source'!B5:B5000,"A002",'📥 Data Source'!E5:E5000,"Non porteur")</f>
        <v>0</v>
      </c>
    </row>
    <row r="12" spans="1:6" ht="22" customHeight="1">
      <c r="A12" s="8" t="s">
        <v>21</v>
      </c>
      <c r="B12" s="9" t="s">
        <v>22</v>
      </c>
      <c r="C12" s="7">
        <f>SUMIF('📥 Data Source'!B5:B5000,"A003",'📥 Data Source'!F5:F5000)</f>
        <v>0</v>
      </c>
      <c r="D12" s="11">
        <f>SUMIF('📥 Data Source'!B5:B5000,"A003",'📥 Data Source'!G5:G5000)</f>
        <v>0</v>
      </c>
      <c r="E12" s="7">
        <f>COUNTIFS('📥 Data Source'!B5:B5000,"A003",'📥 Data Source'!E5:E5000,"Porteur")</f>
        <v>0</v>
      </c>
      <c r="F12" s="7">
        <f>COUNTIFS('📥 Data Source'!B5:B5000,"A003",'📥 Data Source'!E5:E5000,"Non porteur")</f>
        <v>0</v>
      </c>
    </row>
    <row r="13" spans="1:6" ht="22" customHeight="1">
      <c r="A13" s="13" t="s">
        <v>25</v>
      </c>
      <c r="B13" s="14" t="s">
        <v>26</v>
      </c>
      <c r="C13" s="12">
        <f>SUMIF('📥 Data Source'!B5:B5000,"A004",'📥 Data Source'!F5:F5000)</f>
        <v>0</v>
      </c>
      <c r="D13" s="16">
        <f>SUMIF('📥 Data Source'!B5:B5000,"A004",'📥 Data Source'!G5:G5000)</f>
        <v>0</v>
      </c>
      <c r="E13" s="12">
        <f>COUNTIFS('📥 Data Source'!B5:B5000,"A004",'📥 Data Source'!E5:E5000,"Porteur")</f>
        <v>0</v>
      </c>
      <c r="F13" s="12">
        <f>COUNTIFS('📥 Data Source'!B5:B5000,"A004",'📥 Data Source'!E5:E5000,"Non porteur")</f>
        <v>0</v>
      </c>
    </row>
    <row r="14" spans="1:6" ht="22" customHeight="1">
      <c r="A14" s="8" t="s">
        <v>29</v>
      </c>
      <c r="B14" s="9" t="s">
        <v>30</v>
      </c>
      <c r="C14" s="7">
        <f>SUMIF('📥 Data Source'!B5:B5000,"A005",'📥 Data Source'!F5:F5000)</f>
        <v>0</v>
      </c>
      <c r="D14" s="11">
        <f>SUMIF('📥 Data Source'!B5:B5000,"A005",'📥 Data Source'!G5:G5000)</f>
        <v>0</v>
      </c>
      <c r="E14" s="7">
        <f>COUNTIFS('📥 Data Source'!B5:B5000,"A005",'📥 Data Source'!E5:E5000,"Porteur")</f>
        <v>0</v>
      </c>
      <c r="F14" s="7">
        <f>COUNTIFS('📥 Data Source'!B5:B5000,"A005",'📥 Data Source'!E5:E5000,"Non porteur")</f>
        <v>0</v>
      </c>
    </row>
    <row r="15" spans="1:6" ht="26" customHeight="1">
      <c r="A15" s="26" t="s">
        <v>58</v>
      </c>
      <c r="B15" s="26"/>
      <c r="C15" s="26">
        <f>SUM(C10:C14)</f>
        <v>0</v>
      </c>
      <c r="D15" s="27">
        <f>SUM(D10:D14)</f>
        <v>0</v>
      </c>
      <c r="E15" s="26">
        <f>SUM(E10:E14)</f>
        <v>0</v>
      </c>
      <c r="F15" s="26">
        <f>SUM(F10:F14)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8F77"/>
  </sheetPr>
  <dimension ref="A1:F1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6" width="20.7109375" customWidth="1"/>
  </cols>
  <sheetData>
    <row r="1" spans="1:6" ht="42" customHeight="1">
      <c r="A1" s="28" t="s">
        <v>59</v>
      </c>
      <c r="B1" s="29"/>
      <c r="C1" s="29"/>
      <c r="D1" s="29"/>
      <c r="E1" s="29"/>
      <c r="F1" s="29"/>
    </row>
    <row r="2" spans="1:6" ht="18" customHeight="1">
      <c r="A2" s="30" t="s">
        <v>44</v>
      </c>
      <c r="B2" s="31"/>
      <c r="C2" s="31"/>
      <c r="D2" s="31"/>
      <c r="E2" s="31"/>
      <c r="F2" s="31"/>
    </row>
    <row r="3" spans="1:6" ht="6" customHeight="1">
      <c r="A3" s="5"/>
      <c r="B3" s="5"/>
      <c r="C3" s="5"/>
      <c r="D3" s="5"/>
      <c r="E3" s="5"/>
      <c r="F3" s="5"/>
    </row>
    <row r="4" spans="1:6" ht="26" customHeight="1">
      <c r="A4" s="32" t="s">
        <v>60</v>
      </c>
      <c r="B4" s="29"/>
      <c r="C4" s="29"/>
      <c r="D4" s="29"/>
      <c r="E4" s="29"/>
      <c r="F4" s="29"/>
    </row>
    <row r="5" spans="1:6" ht="34" customHeight="1">
      <c r="A5" s="33" t="s">
        <v>61</v>
      </c>
      <c r="B5" s="33" t="s">
        <v>62</v>
      </c>
      <c r="C5" s="33" t="s">
        <v>54</v>
      </c>
      <c r="D5" s="33" t="s">
        <v>55</v>
      </c>
      <c r="E5" s="33" t="s">
        <v>56</v>
      </c>
      <c r="F5" s="33" t="s">
        <v>57</v>
      </c>
    </row>
    <row r="6" spans="1:6" ht="22" customHeight="1">
      <c r="A6" s="34" t="s">
        <v>13</v>
      </c>
      <c r="B6" s="9" t="s">
        <v>12</v>
      </c>
      <c r="C6" s="7">
        <f>SUMIF('📥 Data Source'!D5:D5000,"SIT001",'📥 Data Source'!F5:F5000)</f>
        <v>0</v>
      </c>
      <c r="D6" s="11">
        <f>SUMIF('📥 Data Source'!D5:D5000,"SIT001",'📥 Data Source'!G5:G5000)</f>
        <v>0</v>
      </c>
      <c r="E6" s="7">
        <f>COUNTIFS('📥 Data Source'!D5:D5000,"SIT001",'📥 Data Source'!E5:E5000,"Porteur")</f>
        <v>0</v>
      </c>
      <c r="F6" s="7">
        <f>COUNTIFS('📥 Data Source'!D5:D5000,"SIT001",'📥 Data Source'!E5:E5000,"Non porteur")</f>
        <v>0</v>
      </c>
    </row>
    <row r="7" spans="1:6" ht="22" customHeight="1">
      <c r="A7" s="35" t="s">
        <v>18</v>
      </c>
      <c r="B7" s="14" t="s">
        <v>17</v>
      </c>
      <c r="C7" s="12">
        <f>SUMIF('📥 Data Source'!D5:D5000,"SIT002",'📥 Data Source'!F5:F5000)</f>
        <v>0</v>
      </c>
      <c r="D7" s="16">
        <f>SUMIF('📥 Data Source'!D5:D5000,"SIT002",'📥 Data Source'!G5:G5000)</f>
        <v>0</v>
      </c>
      <c r="E7" s="12">
        <f>COUNTIFS('📥 Data Source'!D5:D5000,"SIT002",'📥 Data Source'!E5:E5000,"Porteur")</f>
        <v>0</v>
      </c>
      <c r="F7" s="12">
        <f>COUNTIFS('📥 Data Source'!D5:D5000,"SIT002",'📥 Data Source'!E5:E5000,"Non porteur")</f>
        <v>0</v>
      </c>
    </row>
    <row r="8" spans="1:6" ht="22" customHeight="1">
      <c r="A8" s="34" t="s">
        <v>23</v>
      </c>
      <c r="B8" s="9" t="s">
        <v>22</v>
      </c>
      <c r="C8" s="7">
        <f>SUMIF('📥 Data Source'!D5:D5000,"SIT003",'📥 Data Source'!F5:F5000)</f>
        <v>0</v>
      </c>
      <c r="D8" s="11">
        <f>SUMIF('📥 Data Source'!D5:D5000,"SIT003",'📥 Data Source'!G5:G5000)</f>
        <v>0</v>
      </c>
      <c r="E8" s="7">
        <f>COUNTIFS('📥 Data Source'!D5:D5000,"SIT003",'📥 Data Source'!E5:E5000,"Porteur")</f>
        <v>0</v>
      </c>
      <c r="F8" s="7">
        <f>COUNTIFS('📥 Data Source'!D5:D5000,"SIT003",'📥 Data Source'!E5:E5000,"Non porteur")</f>
        <v>0</v>
      </c>
    </row>
    <row r="9" spans="1:6" ht="22" customHeight="1">
      <c r="A9" s="35" t="s">
        <v>27</v>
      </c>
      <c r="B9" s="14" t="s">
        <v>26</v>
      </c>
      <c r="C9" s="12">
        <f>SUMIF('📥 Data Source'!D5:D5000,"SIT004",'📥 Data Source'!F5:F5000)</f>
        <v>0</v>
      </c>
      <c r="D9" s="16">
        <f>SUMIF('📥 Data Source'!D5:D5000,"SIT004",'📥 Data Source'!G5:G5000)</f>
        <v>0</v>
      </c>
      <c r="E9" s="12">
        <f>COUNTIFS('📥 Data Source'!D5:D5000,"SIT004",'📥 Data Source'!E5:E5000,"Porteur")</f>
        <v>0</v>
      </c>
      <c r="F9" s="12">
        <f>COUNTIFS('📥 Data Source'!D5:D5000,"SIT004",'📥 Data Source'!E5:E5000,"Non porteur")</f>
        <v>0</v>
      </c>
    </row>
    <row r="10" spans="1:6" ht="22" customHeight="1">
      <c r="A10" s="34" t="s">
        <v>31</v>
      </c>
      <c r="B10" s="9" t="s">
        <v>30</v>
      </c>
      <c r="C10" s="7">
        <f>SUMIF('📥 Data Source'!D5:D5000,"SIT005",'📥 Data Source'!F5:F5000)</f>
        <v>0</v>
      </c>
      <c r="D10" s="11">
        <f>SUMIF('📥 Data Source'!D5:D5000,"SIT005",'📥 Data Source'!G5:G5000)</f>
        <v>0</v>
      </c>
      <c r="E10" s="7">
        <f>COUNTIFS('📥 Data Source'!D5:D5000,"SIT005",'📥 Data Source'!E5:E5000,"Porteur")</f>
        <v>0</v>
      </c>
      <c r="F10" s="7">
        <f>COUNTIFS('📥 Data Source'!D5:D5000,"SIT005",'📥 Data Source'!E5:E5000,"Non porteur")</f>
        <v>0</v>
      </c>
    </row>
    <row r="11" spans="1:6" ht="26" customHeight="1">
      <c r="A11" s="36" t="s">
        <v>58</v>
      </c>
      <c r="B11" s="36"/>
      <c r="C11" s="36">
        <f>SUM(C6:C10)</f>
        <v>0</v>
      </c>
      <c r="D11" s="37">
        <f>SUM(D6:D10)</f>
        <v>0</v>
      </c>
      <c r="E11" s="36">
        <f>SUM(E6:E10)</f>
        <v>0</v>
      </c>
      <c r="F11" s="36">
        <f>SUM(F6:F10)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4AC0D"/>
  </sheetPr>
  <dimension ref="A1:E19"/>
  <sheetViews>
    <sheetView showGridLines="0" workbookViewId="0"/>
  </sheetViews>
  <sheetFormatPr defaultRowHeight="15"/>
  <cols>
    <col min="1" max="1" width="28.7109375" customWidth="1"/>
    <col min="2" max="5" width="18.7109375" customWidth="1"/>
  </cols>
  <sheetData>
    <row r="1" spans="1:5" ht="42" customHeight="1">
      <c r="A1" s="1" t="s">
        <v>63</v>
      </c>
      <c r="B1" s="2"/>
      <c r="C1" s="2"/>
      <c r="D1" s="2"/>
      <c r="E1" s="2"/>
    </row>
    <row r="2" spans="1:5" ht="18" customHeight="1">
      <c r="A2" s="3" t="s">
        <v>44</v>
      </c>
      <c r="B2" s="4"/>
      <c r="C2" s="4"/>
      <c r="D2" s="4"/>
      <c r="E2" s="4"/>
    </row>
    <row r="3" spans="1:5" ht="6" customHeight="1">
      <c r="A3" s="5"/>
      <c r="B3" s="5"/>
      <c r="C3" s="5"/>
      <c r="D3" s="5"/>
      <c r="E3" s="5"/>
    </row>
    <row r="4" spans="1:5" ht="26" customHeight="1">
      <c r="A4" s="20" t="s">
        <v>64</v>
      </c>
      <c r="B4" s="21"/>
      <c r="C4" s="21"/>
      <c r="D4" s="21"/>
      <c r="E4" s="21"/>
    </row>
    <row r="5" spans="1:5" ht="28" customHeight="1">
      <c r="A5" s="6" t="s">
        <v>65</v>
      </c>
      <c r="B5" s="6" t="s">
        <v>66</v>
      </c>
      <c r="C5" s="6" t="s">
        <v>67</v>
      </c>
      <c r="D5" s="6" t="s">
        <v>58</v>
      </c>
      <c r="E5" s="6" t="s">
        <v>68</v>
      </c>
    </row>
    <row r="6" spans="1:5" ht="24" customHeight="1">
      <c r="A6" s="38" t="s">
        <v>69</v>
      </c>
      <c r="B6" s="39">
        <f>COUNTIF('📥 Data Source'!E5:E5000,"Porteur")</f>
        <v>0</v>
      </c>
      <c r="C6" s="40">
        <f>COUNTIF('📥 Data Source'!E5:E5000,"Non porteur")</f>
        <v>0</v>
      </c>
      <c r="D6" s="41">
        <f>B6+C6</f>
        <v>0</v>
      </c>
      <c r="E6" s="42">
        <f>IFERROR(B6/D6,0)</f>
        <v>0</v>
      </c>
    </row>
    <row r="7" spans="1:5" ht="24" customHeight="1">
      <c r="A7" s="38" t="s">
        <v>70</v>
      </c>
      <c r="B7" s="39">
        <f>SUMIF('📥 Data Source'!E5:E5000,"Porteur",'📥 Data Source'!F5:F5000)</f>
        <v>0</v>
      </c>
      <c r="C7" s="40">
        <f>SUMIF('📥 Data Source'!E5:E5000,"Non porteur",'📥 Data Source'!F5:F5000)</f>
        <v>0</v>
      </c>
      <c r="D7" s="41">
        <f>B7+C7</f>
        <v>0</v>
      </c>
      <c r="E7" s="42">
        <f>IFERROR(B7/D7,0)</f>
        <v>0</v>
      </c>
    </row>
    <row r="8" spans="1:5" ht="24" customHeight="1">
      <c r="A8" s="38" t="s">
        <v>71</v>
      </c>
      <c r="B8" s="43">
        <f>SUMIF('📥 Data Source'!E5:E5000,"Porteur",'📥 Data Source'!G5:G5000)</f>
        <v>0</v>
      </c>
      <c r="C8" s="44">
        <f>SUMIF('📥 Data Source'!E5:E5000,"Non porteur",'📥 Data Source'!G5:G5000)</f>
        <v>0</v>
      </c>
      <c r="D8" s="45">
        <f>B8+C8</f>
        <v>0</v>
      </c>
      <c r="E8" s="42">
        <f>IFERROR(B8/D8,0)</f>
        <v>0</v>
      </c>
    </row>
    <row r="9" spans="1:5" ht="24" customHeight="1">
      <c r="A9" s="38" t="s">
        <v>72</v>
      </c>
      <c r="B9" s="43">
        <f>IFERROR(B8/B7,0)</f>
        <v>0</v>
      </c>
      <c r="C9" s="44">
        <f>IFERROR(C8/C7,0)</f>
        <v>0</v>
      </c>
      <c r="D9" s="45">
        <f>IFERROR(D8/D7,0)</f>
        <v>0</v>
      </c>
      <c r="E9" s="7"/>
    </row>
    <row r="11" spans="1:5" ht="10" customHeight="1"/>
    <row r="12" spans="1:5">
      <c r="A12" s="25" t="s">
        <v>73</v>
      </c>
      <c r="B12" s="19"/>
      <c r="C12" s="19"/>
      <c r="D12" s="19"/>
      <c r="E12" s="19"/>
    </row>
    <row r="13" spans="1:5">
      <c r="A13" s="6" t="s">
        <v>3</v>
      </c>
      <c r="B13" s="6" t="s">
        <v>74</v>
      </c>
      <c r="C13" s="6" t="s">
        <v>75</v>
      </c>
      <c r="D13" s="6" t="s">
        <v>76</v>
      </c>
      <c r="E13" s="6" t="s">
        <v>77</v>
      </c>
    </row>
    <row r="14" spans="1:5" ht="22" customHeight="1">
      <c r="A14" s="8" t="s">
        <v>11</v>
      </c>
      <c r="B14" s="7">
        <f>SUMIFS('📥 Data Source'!F5:F5000,'📥 Data Source'!B5:B5000,"A001",'📥 Data Source'!E5:E5000,"Porteur")</f>
        <v>0</v>
      </c>
      <c r="C14" s="7">
        <f>SUMIFS('📥 Data Source'!F5:F5000,'📥 Data Source'!B5:B5000,"A001",'📥 Data Source'!E5:E5000,"Non porteur")</f>
        <v>0</v>
      </c>
      <c r="D14" s="11">
        <f>SUMIFS('📥 Data Source'!G5:G5000,'📥 Data Source'!B5:B5000,"A001",'📥 Data Source'!E5:E5000,"Porteur")</f>
        <v>0</v>
      </c>
      <c r="E14" s="11">
        <f>SUMIFS('📥 Data Source'!G5:G5000,'📥 Data Source'!B5:B5000,"A001",'📥 Data Source'!E5:E5000,"Non porteur")</f>
        <v>0</v>
      </c>
    </row>
    <row r="15" spans="1:5" ht="22" customHeight="1">
      <c r="A15" s="13" t="s">
        <v>16</v>
      </c>
      <c r="B15" s="12">
        <f>SUMIFS('📥 Data Source'!F5:F5000,'📥 Data Source'!B5:B5000,"A002",'📥 Data Source'!E5:E5000,"Porteur")</f>
        <v>0</v>
      </c>
      <c r="C15" s="12">
        <f>SUMIFS('📥 Data Source'!F5:F5000,'📥 Data Source'!B5:B5000,"A002",'📥 Data Source'!E5:E5000,"Non porteur")</f>
        <v>0</v>
      </c>
      <c r="D15" s="16">
        <f>SUMIFS('📥 Data Source'!G5:G5000,'📥 Data Source'!B5:B5000,"A002",'📥 Data Source'!E5:E5000,"Porteur")</f>
        <v>0</v>
      </c>
      <c r="E15" s="16">
        <f>SUMIFS('📥 Data Source'!G5:G5000,'📥 Data Source'!B5:B5000,"A002",'📥 Data Source'!E5:E5000,"Non porteur")</f>
        <v>0</v>
      </c>
    </row>
    <row r="16" spans="1:5" ht="22" customHeight="1">
      <c r="A16" s="8" t="s">
        <v>21</v>
      </c>
      <c r="B16" s="7">
        <f>SUMIFS('📥 Data Source'!F5:F5000,'📥 Data Source'!B5:B5000,"A003",'📥 Data Source'!E5:E5000,"Porteur")</f>
        <v>0</v>
      </c>
      <c r="C16" s="7">
        <f>SUMIFS('📥 Data Source'!F5:F5000,'📥 Data Source'!B5:B5000,"A003",'📥 Data Source'!E5:E5000,"Non porteur")</f>
        <v>0</v>
      </c>
      <c r="D16" s="11">
        <f>SUMIFS('📥 Data Source'!G5:G5000,'📥 Data Source'!B5:B5000,"A003",'📥 Data Source'!E5:E5000,"Porteur")</f>
        <v>0</v>
      </c>
      <c r="E16" s="11">
        <f>SUMIFS('📥 Data Source'!G5:G5000,'📥 Data Source'!B5:B5000,"A003",'📥 Data Source'!E5:E5000,"Non porteur")</f>
        <v>0</v>
      </c>
    </row>
    <row r="17" spans="1:5" ht="22" customHeight="1">
      <c r="A17" s="13" t="s">
        <v>25</v>
      </c>
      <c r="B17" s="12">
        <f>SUMIFS('📥 Data Source'!F5:F5000,'📥 Data Source'!B5:B5000,"A004",'📥 Data Source'!E5:E5000,"Porteur")</f>
        <v>0</v>
      </c>
      <c r="C17" s="12">
        <f>SUMIFS('📥 Data Source'!F5:F5000,'📥 Data Source'!B5:B5000,"A004",'📥 Data Source'!E5:E5000,"Non porteur")</f>
        <v>0</v>
      </c>
      <c r="D17" s="16">
        <f>SUMIFS('📥 Data Source'!G5:G5000,'📥 Data Source'!B5:B5000,"A004",'📥 Data Source'!E5:E5000,"Porteur")</f>
        <v>0</v>
      </c>
      <c r="E17" s="16">
        <f>SUMIFS('📥 Data Source'!G5:G5000,'📥 Data Source'!B5:B5000,"A004",'📥 Data Source'!E5:E5000,"Non porteur")</f>
        <v>0</v>
      </c>
    </row>
    <row r="18" spans="1:5" ht="22" customHeight="1">
      <c r="A18" s="8" t="s">
        <v>29</v>
      </c>
      <c r="B18" s="7">
        <f>SUMIFS('📥 Data Source'!F5:F5000,'📥 Data Source'!B5:B5000,"A005",'📥 Data Source'!E5:E5000,"Porteur")</f>
        <v>0</v>
      </c>
      <c r="C18" s="7">
        <f>SUMIFS('📥 Data Source'!F5:F5000,'📥 Data Source'!B5:B5000,"A005",'📥 Data Source'!E5:E5000,"Non porteur")</f>
        <v>0</v>
      </c>
      <c r="D18" s="11">
        <f>SUMIFS('📥 Data Source'!G5:G5000,'📥 Data Source'!B5:B5000,"A005",'📥 Data Source'!E5:E5000,"Porteur")</f>
        <v>0</v>
      </c>
      <c r="E18" s="11">
        <f>SUMIFS('📥 Data Source'!G5:G5000,'📥 Data Source'!B5:B5000,"A005",'📥 Data Source'!E5:E5000,"Non porteur")</f>
        <v>0</v>
      </c>
    </row>
    <row r="19" spans="1:5" ht="26" customHeight="1">
      <c r="A19" s="26" t="s">
        <v>58</v>
      </c>
      <c r="B19" s="26">
        <f>SUM(B14:B18)</f>
        <v>0</v>
      </c>
      <c r="C19" s="26">
        <f>SUM(C14:C18)</f>
        <v>0</v>
      </c>
      <c r="D19" s="27">
        <f>SUM(D14:D18)</f>
        <v>0</v>
      </c>
      <c r="E19" s="27">
        <f>SUM(E14:E18)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E44AD"/>
  </sheetPr>
  <dimension ref="A1:F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2" width="18.7109375" customWidth="1"/>
    <col min="3" max="3" width="22.7109375" customWidth="1"/>
    <col min="4" max="6" width="20.7109375" customWidth="1"/>
  </cols>
  <sheetData>
    <row r="1" spans="1:6" ht="42" customHeight="1">
      <c r="A1" s="46" t="s">
        <v>78</v>
      </c>
      <c r="B1" s="47"/>
      <c r="C1" s="47"/>
      <c r="D1" s="47"/>
      <c r="E1" s="47"/>
      <c r="F1" s="47"/>
    </row>
    <row r="2" spans="1:6" ht="18" customHeight="1">
      <c r="A2" s="48" t="s">
        <v>79</v>
      </c>
      <c r="B2" s="49"/>
      <c r="C2" s="49"/>
      <c r="D2" s="49"/>
      <c r="E2" s="49"/>
      <c r="F2" s="49"/>
    </row>
    <row r="3" spans="1:6" ht="6" customHeight="1">
      <c r="A3" s="5"/>
      <c r="B3" s="5"/>
      <c r="C3" s="5"/>
      <c r="D3" s="5"/>
      <c r="E3" s="5"/>
      <c r="F3" s="5"/>
    </row>
    <row r="4" spans="1:6" ht="26" customHeight="1">
      <c r="A4" s="50" t="s">
        <v>80</v>
      </c>
      <c r="B4" s="47"/>
      <c r="C4" s="47"/>
      <c r="D4" s="47"/>
      <c r="E4" s="47"/>
      <c r="F4" s="47"/>
    </row>
    <row r="5" spans="1:6" ht="34" customHeight="1">
      <c r="A5" s="51" t="s">
        <v>81</v>
      </c>
      <c r="B5" s="51" t="s">
        <v>3</v>
      </c>
      <c r="C5" s="51" t="s">
        <v>54</v>
      </c>
      <c r="D5" s="51" t="s">
        <v>55</v>
      </c>
      <c r="E5" s="51" t="s">
        <v>56</v>
      </c>
      <c r="F5" s="51" t="s">
        <v>57</v>
      </c>
    </row>
    <row r="6" spans="1:6" ht="20" customHeight="1">
      <c r="A6" s="52" t="s">
        <v>34</v>
      </c>
      <c r="B6" s="7" t="s">
        <v>21</v>
      </c>
      <c r="C6" s="7">
        <f>SUMIFS('📥 Data Source'!F5:F5000,'📥 Data Source'!A5:A5000,"02042025",'📥 Data Source'!B5:B5000,"A003")</f>
        <v>0</v>
      </c>
      <c r="D6" s="11">
        <f>SUMIFS('📥 Data Source'!G5:G5000,'📥 Data Source'!A5:A5000,"02042025",'📥 Data Source'!B5:B5000,"A003")</f>
        <v>0</v>
      </c>
      <c r="E6" s="7">
        <f>COUNTIFS('📥 Data Source'!A5:A5000,"02042025",'📥 Data Source'!B5:B5000,"A003",'📥 Data Source'!E5:E5000,"Porteur")</f>
        <v>0</v>
      </c>
      <c r="F6" s="7">
        <f>COUNTIFS('📥 Data Source'!A5:A5000,"02042025",'📥 Data Source'!B5:B5000,"A003",'📥 Data Source'!E5:E5000,"Non porteur")</f>
        <v>0</v>
      </c>
    </row>
    <row r="7" spans="1:6" ht="20" customHeight="1">
      <c r="A7" s="53" t="s">
        <v>20</v>
      </c>
      <c r="B7" s="12" t="s">
        <v>21</v>
      </c>
      <c r="C7" s="12">
        <f>SUMIFS('📥 Data Source'!F5:F5000,'📥 Data Source'!A5:A5000,"03022025",'📥 Data Source'!B5:B5000,"A003")</f>
        <v>0</v>
      </c>
      <c r="D7" s="16">
        <f>SUMIFS('📥 Data Source'!G5:G5000,'📥 Data Source'!A5:A5000,"03022025",'📥 Data Source'!B5:B5000,"A003")</f>
        <v>0</v>
      </c>
      <c r="E7" s="12">
        <f>COUNTIFS('📥 Data Source'!A5:A5000,"03022025",'📥 Data Source'!B5:B5000,"A003",'📥 Data Source'!E5:E5000,"Porteur")</f>
        <v>0</v>
      </c>
      <c r="F7" s="12">
        <f>COUNTIFS('📥 Data Source'!A5:A5000,"03022025",'📥 Data Source'!B5:B5000,"A003",'📥 Data Source'!E5:E5000,"Non porteur")</f>
        <v>0</v>
      </c>
    </row>
    <row r="8" spans="1:6" ht="20" customHeight="1">
      <c r="A8" s="52" t="s">
        <v>39</v>
      </c>
      <c r="B8" s="7" t="s">
        <v>21</v>
      </c>
      <c r="C8" s="7">
        <f>SUMIFS('📥 Data Source'!F5:F5000,'📥 Data Source'!A5:A5000,"04062025",'📥 Data Source'!B5:B5000,"A003")</f>
        <v>0</v>
      </c>
      <c r="D8" s="11">
        <f>SUMIFS('📥 Data Source'!G5:G5000,'📥 Data Source'!A5:A5000,"04062025",'📥 Data Source'!B5:B5000,"A003")</f>
        <v>0</v>
      </c>
      <c r="E8" s="7">
        <f>COUNTIFS('📥 Data Source'!A5:A5000,"04062025",'📥 Data Source'!B5:B5000,"A003",'📥 Data Source'!E5:E5000,"Porteur")</f>
        <v>0</v>
      </c>
      <c r="F8" s="7">
        <f>COUNTIFS('📥 Data Source'!A5:A5000,"04062025",'📥 Data Source'!B5:B5000,"A003",'📥 Data Source'!E5:E5000,"Non porteur")</f>
        <v>0</v>
      </c>
    </row>
    <row r="9" spans="1:6" ht="20" customHeight="1">
      <c r="A9" s="53" t="s">
        <v>36</v>
      </c>
      <c r="B9" s="12" t="s">
        <v>29</v>
      </c>
      <c r="C9" s="12">
        <f>SUMIFS('📥 Data Source'!F5:F5000,'📥 Data Source'!A5:A5000,"05052025",'📥 Data Source'!B5:B5000,"A005")</f>
        <v>0</v>
      </c>
      <c r="D9" s="16">
        <f>SUMIFS('📥 Data Source'!G5:G5000,'📥 Data Source'!A5:A5000,"05052025",'📥 Data Source'!B5:B5000,"A005")</f>
        <v>0</v>
      </c>
      <c r="E9" s="12">
        <f>COUNTIFS('📥 Data Source'!A5:A5000,"05052025",'📥 Data Source'!B5:B5000,"A005",'📥 Data Source'!E5:E5000,"Porteur")</f>
        <v>0</v>
      </c>
      <c r="F9" s="12">
        <f>COUNTIFS('📥 Data Source'!A5:A5000,"05052025",'📥 Data Source'!B5:B5000,"A005",'📥 Data Source'!E5:E5000,"Non porteur")</f>
        <v>0</v>
      </c>
    </row>
    <row r="10" spans="1:6" ht="20" customHeight="1">
      <c r="A10" s="52" t="s">
        <v>32</v>
      </c>
      <c r="B10" s="7" t="s">
        <v>11</v>
      </c>
      <c r="C10" s="7">
        <f>SUMIFS('📥 Data Source'!F5:F5000,'📥 Data Source'!A5:A5000,"10032025",'📥 Data Source'!B5:B5000,"A001")</f>
        <v>0</v>
      </c>
      <c r="D10" s="11">
        <f>SUMIFS('📥 Data Source'!G5:G5000,'📥 Data Source'!A5:A5000,"10032025",'📥 Data Source'!B5:B5000,"A001")</f>
        <v>0</v>
      </c>
      <c r="E10" s="7">
        <f>COUNTIFS('📥 Data Source'!A5:A5000,"10032025",'📥 Data Source'!B5:B5000,"A001",'📥 Data Source'!E5:E5000,"Porteur")</f>
        <v>0</v>
      </c>
      <c r="F10" s="7">
        <f>COUNTIFS('📥 Data Source'!A5:A5000,"10032025",'📥 Data Source'!B5:B5000,"A001",'📥 Data Source'!E5:E5000,"Non porteur")</f>
        <v>0</v>
      </c>
    </row>
    <row r="11" spans="1:6" ht="20" customHeight="1">
      <c r="A11" s="53" t="s">
        <v>37</v>
      </c>
      <c r="B11" s="12" t="s">
        <v>11</v>
      </c>
      <c r="C11" s="12">
        <f>SUMIFS('📥 Data Source'!F5:F5000,'📥 Data Source'!A5:A5000,"12052025",'📥 Data Source'!B5:B5000,"A001")</f>
        <v>0</v>
      </c>
      <c r="D11" s="16">
        <f>SUMIFS('📥 Data Source'!G5:G5000,'📥 Data Source'!A5:A5000,"12052025",'📥 Data Source'!B5:B5000,"A001")</f>
        <v>0</v>
      </c>
      <c r="E11" s="12">
        <f>COUNTIFS('📥 Data Source'!A5:A5000,"12052025",'📥 Data Source'!B5:B5000,"A001",'📥 Data Source'!E5:E5000,"Porteur")</f>
        <v>0</v>
      </c>
      <c r="F11" s="12">
        <f>COUNTIFS('📥 Data Source'!A5:A5000,"12052025",'📥 Data Source'!B5:B5000,"A001",'📥 Data Source'!E5:E5000,"Non porteur")</f>
        <v>0</v>
      </c>
    </row>
    <row r="12" spans="1:6" ht="20" customHeight="1">
      <c r="A12" s="52" t="s">
        <v>24</v>
      </c>
      <c r="B12" s="7" t="s">
        <v>25</v>
      </c>
      <c r="C12" s="7">
        <f>SUMIFS('📥 Data Source'!F5:F5000,'📥 Data Source'!A5:A5000,"14022025",'📥 Data Source'!B5:B5000,"A004")</f>
        <v>0</v>
      </c>
      <c r="D12" s="11">
        <f>SUMIFS('📥 Data Source'!G5:G5000,'📥 Data Source'!A5:A5000,"14022025",'📥 Data Source'!B5:B5000,"A004")</f>
        <v>0</v>
      </c>
      <c r="E12" s="7">
        <f>COUNTIFS('📥 Data Source'!A5:A5000,"14022025",'📥 Data Source'!B5:B5000,"A004",'📥 Data Source'!E5:E5000,"Porteur")</f>
        <v>0</v>
      </c>
      <c r="F12" s="7">
        <f>COUNTIFS('📥 Data Source'!A5:A5000,"14022025",'📥 Data Source'!B5:B5000,"A004",'📥 Data Source'!E5:E5000,"Non porteur")</f>
        <v>0</v>
      </c>
    </row>
    <row r="13" spans="1:6" ht="20" customHeight="1">
      <c r="A13" s="53" t="s">
        <v>10</v>
      </c>
      <c r="B13" s="12" t="s">
        <v>11</v>
      </c>
      <c r="C13" s="12">
        <f>SUMIFS('📥 Data Source'!F5:F5000,'📥 Data Source'!A5:A5000,"15012025",'📥 Data Source'!B5:B5000,"A001")</f>
        <v>0</v>
      </c>
      <c r="D13" s="16">
        <f>SUMIFS('📥 Data Source'!G5:G5000,'📥 Data Source'!A5:A5000,"15012025",'📥 Data Source'!B5:B5000,"A001")</f>
        <v>0</v>
      </c>
      <c r="E13" s="12">
        <f>COUNTIFS('📥 Data Source'!A5:A5000,"15012025",'📥 Data Source'!B5:B5000,"A001",'📥 Data Source'!E5:E5000,"Porteur")</f>
        <v>0</v>
      </c>
      <c r="F13" s="12">
        <f>COUNTIFS('📥 Data Source'!A5:A5000,"15012025",'📥 Data Source'!B5:B5000,"A001",'📥 Data Source'!E5:E5000,"Non porteur")</f>
        <v>0</v>
      </c>
    </row>
    <row r="14" spans="1:6" ht="20" customHeight="1">
      <c r="A14" s="52" t="s">
        <v>35</v>
      </c>
      <c r="B14" s="7" t="s">
        <v>25</v>
      </c>
      <c r="C14" s="7">
        <f>SUMIFS('📥 Data Source'!F5:F5000,'📥 Data Source'!A5:A5000,"18042025",'📥 Data Source'!B5:B5000,"A004")</f>
        <v>0</v>
      </c>
      <c r="D14" s="11">
        <f>SUMIFS('📥 Data Source'!G5:G5000,'📥 Data Source'!A5:A5000,"18042025",'📥 Data Source'!B5:B5000,"A004")</f>
        <v>0</v>
      </c>
      <c r="E14" s="7">
        <f>COUNTIFS('📥 Data Source'!A5:A5000,"18042025",'📥 Data Source'!B5:B5000,"A004",'📥 Data Source'!E5:E5000,"Porteur")</f>
        <v>0</v>
      </c>
      <c r="F14" s="7">
        <f>COUNTIFS('📥 Data Source'!A5:A5000,"18042025",'📥 Data Source'!B5:B5000,"A004",'📥 Data Source'!E5:E5000,"Non porteur")</f>
        <v>0</v>
      </c>
    </row>
    <row r="15" spans="1:6" ht="20" customHeight="1">
      <c r="A15" s="53" t="s">
        <v>40</v>
      </c>
      <c r="B15" s="12" t="s">
        <v>25</v>
      </c>
      <c r="C15" s="12">
        <f>SUMIFS('📥 Data Source'!F5:F5000,'📥 Data Source'!A5:A5000,"19062025",'📥 Data Source'!B5:B5000,"A004")</f>
        <v>0</v>
      </c>
      <c r="D15" s="16">
        <f>SUMIFS('📥 Data Source'!G5:G5000,'📥 Data Source'!A5:A5000,"19062025",'📥 Data Source'!B5:B5000,"A004")</f>
        <v>0</v>
      </c>
      <c r="E15" s="12">
        <f>COUNTIFS('📥 Data Source'!A5:A5000,"19062025",'📥 Data Source'!B5:B5000,"A004",'📥 Data Source'!E5:E5000,"Porteur")</f>
        <v>0</v>
      </c>
      <c r="F15" s="12">
        <f>COUNTIFS('📥 Data Source'!A5:A5000,"19062025",'📥 Data Source'!B5:B5000,"A004",'📥 Data Source'!E5:E5000,"Non porteur")</f>
        <v>0</v>
      </c>
    </row>
    <row r="16" spans="1:6" ht="20" customHeight="1">
      <c r="A16" s="52" t="s">
        <v>15</v>
      </c>
      <c r="B16" s="7" t="s">
        <v>16</v>
      </c>
      <c r="C16" s="7">
        <f>SUMIFS('📥 Data Source'!F5:F5000,'📥 Data Source'!A5:A5000,"22012025",'📥 Data Source'!B5:B5000,"A002")</f>
        <v>0</v>
      </c>
      <c r="D16" s="11">
        <f>SUMIFS('📥 Data Source'!G5:G5000,'📥 Data Source'!A5:A5000,"22012025",'📥 Data Source'!B5:B5000,"A002")</f>
        <v>0</v>
      </c>
      <c r="E16" s="7">
        <f>COUNTIFS('📥 Data Source'!A5:A5000,"22012025",'📥 Data Source'!B5:B5000,"A002",'📥 Data Source'!E5:E5000,"Porteur")</f>
        <v>0</v>
      </c>
      <c r="F16" s="7">
        <f>COUNTIFS('📥 Data Source'!A5:A5000,"22012025",'📥 Data Source'!B5:B5000,"A002",'📥 Data Source'!E5:E5000,"Non porteur")</f>
        <v>0</v>
      </c>
    </row>
    <row r="17" spans="1:6" ht="20" customHeight="1">
      <c r="A17" s="53" t="s">
        <v>33</v>
      </c>
      <c r="B17" s="12" t="s">
        <v>16</v>
      </c>
      <c r="C17" s="12">
        <f>SUMIFS('📥 Data Source'!F5:F5000,'📥 Data Source'!A5:A5000,"25032025",'📥 Data Source'!B5:B5000,"A002")</f>
        <v>0</v>
      </c>
      <c r="D17" s="16">
        <f>SUMIFS('📥 Data Source'!G5:G5000,'📥 Data Source'!A5:A5000,"25032025",'📥 Data Source'!B5:B5000,"A002")</f>
        <v>0</v>
      </c>
      <c r="E17" s="12">
        <f>COUNTIFS('📥 Data Source'!A5:A5000,"25032025",'📥 Data Source'!B5:B5000,"A002",'📥 Data Source'!E5:E5000,"Porteur")</f>
        <v>0</v>
      </c>
      <c r="F17" s="12">
        <f>COUNTIFS('📥 Data Source'!A5:A5000,"25032025",'📥 Data Source'!B5:B5000,"A002",'📥 Data Source'!E5:E5000,"Non porteur")</f>
        <v>0</v>
      </c>
    </row>
    <row r="18" spans="1:6" ht="20" customHeight="1">
      <c r="A18" s="52" t="s">
        <v>28</v>
      </c>
      <c r="B18" s="7" t="s">
        <v>29</v>
      </c>
      <c r="C18" s="7">
        <f>SUMIFS('📥 Data Source'!F5:F5000,'📥 Data Source'!A5:A5000,"28022025",'📥 Data Source'!B5:B5000,"A005")</f>
        <v>0</v>
      </c>
      <c r="D18" s="11">
        <f>SUMIFS('📥 Data Source'!G5:G5000,'📥 Data Source'!A5:A5000,"28022025",'📥 Data Source'!B5:B5000,"A005")</f>
        <v>0</v>
      </c>
      <c r="E18" s="7">
        <f>COUNTIFS('📥 Data Source'!A5:A5000,"28022025",'📥 Data Source'!B5:B5000,"A005",'📥 Data Source'!E5:E5000,"Porteur")</f>
        <v>0</v>
      </c>
      <c r="F18" s="7">
        <f>COUNTIFS('📥 Data Source'!A5:A5000,"28022025",'📥 Data Source'!B5:B5000,"A005",'📥 Data Source'!E5:E5000,"Non porteur")</f>
        <v>0</v>
      </c>
    </row>
    <row r="19" spans="1:6" ht="20" customHeight="1">
      <c r="A19" s="53" t="s">
        <v>38</v>
      </c>
      <c r="B19" s="12" t="s">
        <v>16</v>
      </c>
      <c r="C19" s="12">
        <f>SUMIFS('📥 Data Source'!F5:F5000,'📥 Data Source'!A5:A5000,"28052025",'📥 Data Source'!B5:B5000,"A002")</f>
        <v>0</v>
      </c>
      <c r="D19" s="16">
        <f>SUMIFS('📥 Data Source'!G5:G5000,'📥 Data Source'!A5:A5000,"28052025",'📥 Data Source'!B5:B5000,"A002")</f>
        <v>0</v>
      </c>
      <c r="E19" s="12">
        <f>COUNTIFS('📥 Data Source'!A5:A5000,"28052025",'📥 Data Source'!B5:B5000,"A002",'📥 Data Source'!E5:E5000,"Porteur")</f>
        <v>0</v>
      </c>
      <c r="F19" s="12">
        <f>COUNTIFS('📥 Data Source'!A5:A5000,"28052025",'📥 Data Source'!B5:B5000,"A002",'📥 Data Source'!E5:E5000,"Non porteur")</f>
        <v>0</v>
      </c>
    </row>
    <row r="20" spans="1:6" ht="20" customHeight="1">
      <c r="A20" s="52" t="s">
        <v>41</v>
      </c>
      <c r="B20" s="7" t="s">
        <v>29</v>
      </c>
      <c r="C20" s="7">
        <f>SUMIFS('📥 Data Source'!F5:F5000,'📥 Data Source'!A5:A5000,"30062025",'📥 Data Source'!B5:B5000,"A005")</f>
        <v>0</v>
      </c>
      <c r="D20" s="11">
        <f>SUMIFS('📥 Data Source'!G5:G5000,'📥 Data Source'!A5:A5000,"30062025",'📥 Data Source'!B5:B5000,"A005")</f>
        <v>0</v>
      </c>
      <c r="E20" s="7">
        <f>COUNTIFS('📥 Data Source'!A5:A5000,"30062025",'📥 Data Source'!B5:B5000,"A005",'📥 Data Source'!E5:E5000,"Porteur")</f>
        <v>0</v>
      </c>
      <c r="F20" s="7">
        <f>COUNTIFS('📥 Data Source'!A5:A5000,"30062025",'📥 Data Source'!B5:B5000,"A005",'📥 Data Source'!E5:E5000,"Non porteur")</f>
        <v>0</v>
      </c>
    </row>
    <row r="21" spans="1:6" ht="26" customHeight="1">
      <c r="A21" s="54" t="s">
        <v>58</v>
      </c>
      <c r="B21" s="54"/>
      <c r="C21" s="54">
        <f>SUM(C6:C20)</f>
        <v>0</v>
      </c>
      <c r="D21" s="27">
        <f>SUM(D6:D20)</f>
        <v>0</v>
      </c>
      <c r="E21" s="54">
        <f>SUM(E6:E20)</f>
        <v>0</v>
      </c>
      <c r="F21" s="54">
        <f>SUM(F6:F20)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0392B"/>
  </sheetPr>
  <dimension ref="A1:Y23"/>
  <sheetViews>
    <sheetView showGridLines="0" workbookViewId="0"/>
  </sheetViews>
  <sheetFormatPr defaultRowHeight="15"/>
  <cols>
    <col min="1" max="16" width="10.7109375" customWidth="1"/>
    <col min="18" max="18" width="14.7109375" customWidth="1"/>
    <col min="19" max="19" width="20.7109375" customWidth="1"/>
    <col min="21" max="21" width="16.7109375" customWidth="1"/>
    <col min="22" max="22" width="20.7109375" customWidth="1"/>
    <col min="24" max="24" width="16.7109375" customWidth="1"/>
    <col min="25" max="25" width="20.7109375" customWidth="1"/>
  </cols>
  <sheetData>
    <row r="1" spans="1:25" ht="42" customHeight="1">
      <c r="A1" s="55" t="s">
        <v>82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R1" s="57" t="s">
        <v>87</v>
      </c>
      <c r="S1" s="57" t="s">
        <v>88</v>
      </c>
      <c r="U1" s="57" t="s">
        <v>89</v>
      </c>
      <c r="V1" s="57" t="s">
        <v>88</v>
      </c>
      <c r="X1" s="57" t="s">
        <v>90</v>
      </c>
      <c r="Y1" s="57" t="s">
        <v>8</v>
      </c>
    </row>
    <row r="2" spans="1:25" ht="18" customHeight="1">
      <c r="A2" s="3" t="s">
        <v>83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R2" s="12" t="s">
        <v>11</v>
      </c>
      <c r="S2" s="12">
        <v>3</v>
      </c>
      <c r="U2" s="12" t="s">
        <v>14</v>
      </c>
      <c r="V2" s="12">
        <v>12</v>
      </c>
      <c r="X2" s="12" t="s">
        <v>10</v>
      </c>
      <c r="Y2" s="12">
        <v>250</v>
      </c>
    </row>
    <row r="3" spans="1:25" ht="6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R3" s="12" t="s">
        <v>16</v>
      </c>
      <c r="S3" s="12">
        <v>5</v>
      </c>
      <c r="U3" s="12" t="s">
        <v>19</v>
      </c>
      <c r="V3" s="12">
        <v>9</v>
      </c>
      <c r="X3" s="12" t="s">
        <v>15</v>
      </c>
      <c r="Y3" s="12">
        <v>100</v>
      </c>
    </row>
    <row r="4" spans="1:25" ht="26" customHeight="1">
      <c r="A4" s="25" t="s">
        <v>84</v>
      </c>
      <c r="B4" s="19"/>
      <c r="C4" s="19"/>
      <c r="D4" s="19"/>
      <c r="E4" s="19"/>
      <c r="F4" s="19"/>
      <c r="G4" s="19"/>
      <c r="H4" s="19"/>
      <c r="I4" s="32" t="s">
        <v>85</v>
      </c>
      <c r="J4" s="29"/>
      <c r="K4" s="29"/>
      <c r="L4" s="29"/>
      <c r="M4" s="29"/>
      <c r="N4" s="29"/>
      <c r="O4" s="29"/>
      <c r="P4" s="29"/>
      <c r="R4" s="12" t="s">
        <v>21</v>
      </c>
      <c r="S4" s="12">
        <v>4</v>
      </c>
      <c r="X4" s="12" t="s">
        <v>20</v>
      </c>
      <c r="Y4" s="12">
        <v>500</v>
      </c>
    </row>
    <row r="5" spans="1:25">
      <c r="R5" s="12" t="s">
        <v>25</v>
      </c>
      <c r="S5" s="12">
        <v>6</v>
      </c>
      <c r="X5" s="12" t="s">
        <v>24</v>
      </c>
      <c r="Y5" s="12">
        <v>300</v>
      </c>
    </row>
    <row r="6" spans="1:25">
      <c r="R6" s="12" t="s">
        <v>29</v>
      </c>
      <c r="S6" s="12">
        <v>3</v>
      </c>
      <c r="X6" s="12" t="s">
        <v>28</v>
      </c>
      <c r="Y6" s="12">
        <v>150</v>
      </c>
    </row>
    <row r="7" spans="1:25">
      <c r="X7" s="12" t="s">
        <v>32</v>
      </c>
      <c r="Y7" s="12">
        <v>200</v>
      </c>
    </row>
    <row r="8" spans="1:25">
      <c r="X8" s="12" t="s">
        <v>33</v>
      </c>
      <c r="Y8" s="12">
        <v>450</v>
      </c>
    </row>
    <row r="9" spans="1:25">
      <c r="X9" s="12" t="s">
        <v>34</v>
      </c>
      <c r="Y9" s="12">
        <v>350</v>
      </c>
    </row>
    <row r="10" spans="1:25">
      <c r="X10" s="12" t="s">
        <v>35</v>
      </c>
      <c r="Y10" s="12">
        <v>600</v>
      </c>
    </row>
    <row r="11" spans="1:25">
      <c r="X11" s="12" t="s">
        <v>36</v>
      </c>
      <c r="Y11" s="12">
        <v>275</v>
      </c>
    </row>
    <row r="12" spans="1:25">
      <c r="X12" s="12" t="s">
        <v>37</v>
      </c>
      <c r="Y12" s="12">
        <v>180</v>
      </c>
    </row>
    <row r="13" spans="1:25">
      <c r="X13" s="12" t="s">
        <v>38</v>
      </c>
      <c r="Y13" s="12">
        <v>420</v>
      </c>
    </row>
    <row r="14" spans="1:25">
      <c r="X14" s="12" t="s">
        <v>39</v>
      </c>
      <c r="Y14" s="12">
        <v>310</v>
      </c>
    </row>
    <row r="15" spans="1:25">
      <c r="X15" s="12" t="s">
        <v>40</v>
      </c>
      <c r="Y15" s="12">
        <v>540</v>
      </c>
    </row>
    <row r="16" spans="1:25">
      <c r="X16" s="12" t="s">
        <v>41</v>
      </c>
      <c r="Y16" s="12">
        <v>220</v>
      </c>
    </row>
    <row r="23" spans="1:16" ht="26" customHeight="1">
      <c r="A23" s="50" t="s">
        <v>86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📥 Data Source</vt:lpstr>
      <vt:lpstr>📊 Par Automate</vt:lpstr>
      <vt:lpstr>🏢 Par Site</vt:lpstr>
      <vt:lpstr>👥 Porteur vs Non Porteur</vt:lpstr>
      <vt:lpstr>📅 Analyse par Jour</vt:lpstr>
      <vt:lpstr>📈 Graphiques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2026-06-02T11:37:47Z</dcterms:created>
  <dcterms:modified xsi:type="dcterms:W3CDTF">2026-06-02T11:37:47Z</dcterms:modified>
</cp:coreProperties>
</file>