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📥 Data Source" sheetId="1" r:id="rId1"/>
    <sheet name="📊 Par Automate" sheetId="2" r:id="rId2"/>
    <sheet name="🏢 Par Site" sheetId="3" r:id="rId3"/>
    <sheet name="👥 Porteur vs Non Porteur" sheetId="4" r:id="rId4"/>
    <sheet name="📈 Graphiques" sheetId="5" r:id="rId5"/>
  </sheets>
  <calcPr calcId="124519" fullCalcOnLoad="1"/>
</workbook>
</file>

<file path=xl/sharedStrings.xml><?xml version="1.0" encoding="utf-8"?>
<sst xmlns="http://schemas.openxmlformats.org/spreadsheetml/2006/main" count="88" uniqueCount="68">
  <si>
    <t xml:space="preserve">  🏧   RETRAITS NON SERVIS — 2025   |   DATA SOURCE</t>
  </si>
  <si>
    <t xml:space="preserve">  Extraction : 02/06/2026   |   ⚠️  Supprime les lignes exemple puis colle tes données en A5 avec CTRL+V</t>
  </si>
  <si>
    <t>DATE_OPERATION
(DDMMYYYY)</t>
  </si>
  <si>
    <t>NUM_AUTOMATE</t>
  </si>
  <si>
    <t>LIB_SIT_
IMPLEMENTATION</t>
  </si>
  <si>
    <t>CODE_SITE_
IMPLEMENTATION</t>
  </si>
  <si>
    <t>TYPE_PORTEUR</t>
  </si>
  <si>
    <t>NB_RETRAIT_
NON_ABOUTIS</t>
  </si>
  <si>
    <t>MONTANT</t>
  </si>
  <si>
    <t>MOTIF</t>
  </si>
  <si>
    <t>01012025</t>
  </si>
  <si>
    <t>740121</t>
  </si>
  <si>
    <t>ANNEMASSE PRINCIPAL</t>
  </si>
  <si>
    <t>74012</t>
  </si>
  <si>
    <t>Porteur</t>
  </si>
  <si>
    <t>751771</t>
  </si>
  <si>
    <t>PARIS PHILIPPE GIRARD</t>
  </si>
  <si>
    <t>75177</t>
  </si>
  <si>
    <t>Non porteur</t>
  </si>
  <si>
    <t>756292</t>
  </si>
  <si>
    <t>PARIS CHATEAU ROUGE</t>
  </si>
  <si>
    <t>75629</t>
  </si>
  <si>
    <t>756931</t>
  </si>
  <si>
    <t>PARIS LOUIS BLANC</t>
  </si>
  <si>
    <t>75693</t>
  </si>
  <si>
    <t>913261</t>
  </si>
  <si>
    <t>JUVISY SUR ORGE</t>
  </si>
  <si>
    <t>91326</t>
  </si>
  <si>
    <t>⚠️  Supprime les lignes 5 à 9, colle tes données en A5 avec CTRL+V (collage spécial → Valeurs)</t>
  </si>
  <si>
    <t xml:space="preserve">  📊   ANALYSE PAR AUTOMATE</t>
  </si>
  <si>
    <t xml:space="preserve">  Extraction : 02/06/2026   |   Résultats calculés automatiquement depuis Data Source</t>
  </si>
  <si>
    <t>⚡  INDICATEURS CLÉS GLOBAUX</t>
  </si>
  <si>
    <t>Total
Lignes</t>
  </si>
  <si>
    <t>Nb Retraits
Non Aboutis</t>
  </si>
  <si>
    <t>Montant
Total (€)</t>
  </si>
  <si>
    <t>Retraits
Porteurs</t>
  </si>
  <si>
    <t>Montant
Porteurs (€)</t>
  </si>
  <si>
    <t>Montant
Non Porteurs (€)</t>
  </si>
  <si>
    <t>📋  RÉCAPITULATIF PAR NUM_AUTOMATE  —  dynamique</t>
  </si>
  <si>
    <t>LIB_SIT_IMPLEMENTATION</t>
  </si>
  <si>
    <t>NB RETRAITS
NON ABOUTIS</t>
  </si>
  <si>
    <t>MONTANT
TOTAL (€)</t>
  </si>
  <si>
    <t>NB OPS
PORTEURS</t>
  </si>
  <si>
    <t>NB OPS
NON PORTEURS</t>
  </si>
  <si>
    <t>TOTAL</t>
  </si>
  <si>
    <t xml:space="preserve">  🏢   ANALYSE PAR SITE D'IMPLÉMENTATION</t>
  </si>
  <si>
    <t>📋  RÉCAPITULATIF PAR CODE_SITE_IMPLEMENTATION  —  dynamique</t>
  </si>
  <si>
    <t>CODE SITE</t>
  </si>
  <si>
    <t>LIB SITE</t>
  </si>
  <si>
    <t xml:space="preserve">  👥   PORTEUR vs NON PORTEUR — COMPARATIF</t>
  </si>
  <si>
    <t>📊  SYNTHÈSE COMPARÉE</t>
  </si>
  <si>
    <t>INDICATEUR</t>
  </si>
  <si>
    <t>PORTEUR</t>
  </si>
  <si>
    <t>NON PORTEUR</t>
  </si>
  <si>
    <t>% PORTEURS</t>
  </si>
  <si>
    <t>Nb Lignes</t>
  </si>
  <si>
    <t>Nb Retraits Non Aboutis</t>
  </si>
  <si>
    <t>Montant Total (€)</t>
  </si>
  <si>
    <t>Montant Moyen / Retrait (€)</t>
  </si>
  <si>
    <t xml:space="preserve">  📈   TABLEAUX DE BORD — RETRAITS NON SERVIS 2025</t>
  </si>
  <si>
    <t xml:space="preserve">  Graphiques mis à jour automatiquement depuis Data Source   |   02/06/2026</t>
  </si>
  <si>
    <t xml:space="preserve">  📊  NB RETRAITS NON ABOUTIS PAR AUTOMATE</t>
  </si>
  <si>
    <t xml:space="preserve">  🥧  PORTEUR vs NON PORTEUR</t>
  </si>
  <si>
    <t xml:space="preserve">  📈  ÉVOLUTION JOURNALIÈRE DES MONTANTS</t>
  </si>
  <si>
    <t>AUTOMATE</t>
  </si>
  <si>
    <t>NB_RETRAITS</t>
  </si>
  <si>
    <t>TYPE</t>
  </si>
  <si>
    <t>DATE</t>
  </si>
</sst>
</file>

<file path=xl/styles.xml><?xml version="1.0" encoding="utf-8"?>
<styleSheet xmlns="http://schemas.openxmlformats.org/spreadsheetml/2006/main">
  <numFmts count="2">
    <numFmt numFmtId="164" formatCode="#,##0.00 €"/>
    <numFmt numFmtId="165" formatCode="0.0%"/>
  </numFmts>
  <fonts count="18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sz val="10"/>
      <color rgb="FF1A1A1A"/>
      <name val="Calibri"/>
      <family val="2"/>
      <scheme val="minor"/>
    </font>
    <font>
      <i/>
      <sz val="9"/>
      <color rgb="FF717D7E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0"/>
      <color rgb="FF1B4F72"/>
      <name val="Calibri"/>
      <family val="2"/>
      <scheme val="minor"/>
    </font>
    <font>
      <b/>
      <sz val="10"/>
      <color rgb="FF148F77"/>
      <name val="Calibri"/>
      <family val="2"/>
      <scheme val="minor"/>
    </font>
    <font>
      <b/>
      <sz val="10"/>
      <color rgb="FFCA6F1E"/>
      <name val="Calibri"/>
      <family val="2"/>
      <scheme val="minor"/>
    </font>
    <font>
      <i/>
      <sz val="9"/>
      <color rgb="FFCA6F1E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14"/>
      <color rgb="FF0D1B2A"/>
      <name val="Calibri"/>
      <family val="2"/>
      <scheme val="minor"/>
    </font>
    <font>
      <b/>
      <sz val="10"/>
      <color rgb="FF1A1A1A"/>
      <name val="Calibri"/>
      <family val="2"/>
      <scheme val="minor"/>
    </font>
    <font>
      <b/>
      <sz val="12"/>
      <color rgb="FF148F77"/>
      <name val="Calibri"/>
      <family val="2"/>
      <scheme val="minor"/>
    </font>
    <font>
      <b/>
      <sz val="12"/>
      <color rgb="FFCA6F1E"/>
      <name val="Calibri"/>
      <family val="2"/>
      <scheme val="minor"/>
    </font>
    <font>
      <b/>
      <sz val="12"/>
      <color rgb="FF1B4F72"/>
      <name val="Calibri"/>
      <family val="2"/>
      <scheme val="minor"/>
    </font>
    <font>
      <b/>
      <sz val="12"/>
      <color rgb="FF717D7E"/>
      <name val="Calibri"/>
      <family val="2"/>
      <scheme val="minor"/>
    </font>
    <font>
      <sz val="9"/>
      <color rgb="FF1A1A1A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0D1B2A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F6F7"/>
        <bgColor indexed="64"/>
      </patternFill>
    </fill>
    <fill>
      <patternFill patternType="solid">
        <fgColor rgb="FFD1F2EB"/>
        <bgColor indexed="64"/>
      </patternFill>
    </fill>
    <fill>
      <patternFill patternType="solid">
        <fgColor rgb="FFFDEBD0"/>
        <bgColor indexed="64"/>
      </patternFill>
    </fill>
    <fill>
      <patternFill patternType="solid">
        <fgColor rgb="FF1B4F72"/>
        <bgColor indexed="64"/>
      </patternFill>
    </fill>
    <fill>
      <patternFill patternType="solid">
        <fgColor rgb="FF2E86C1"/>
        <bgColor indexed="64"/>
      </patternFill>
    </fill>
    <fill>
      <patternFill patternType="solid">
        <fgColor rgb="FFEBF5FB"/>
        <bgColor indexed="64"/>
      </patternFill>
    </fill>
    <fill>
      <patternFill patternType="solid">
        <fgColor rgb="FF148F77"/>
        <bgColor indexed="64"/>
      </patternFill>
    </fill>
    <fill>
      <patternFill patternType="solid">
        <fgColor rgb="FFC0392B"/>
        <bgColor indexed="64"/>
      </patternFill>
    </fill>
    <fill>
      <patternFill patternType="solid">
        <fgColor rgb="FF8E44AD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center" vertical="center"/>
    </xf>
    <xf numFmtId="164" fontId="2" fillId="5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7" fillId="7" borderId="1" xfId="0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0" fontId="8" fillId="4" borderId="0" xfId="0" applyFont="1" applyFill="1" applyAlignment="1">
      <alignment horizontal="left" vertical="center"/>
    </xf>
    <xf numFmtId="0" fontId="1" fillId="8" borderId="0" xfId="0" applyFont="1" applyFill="1" applyAlignment="1">
      <alignment horizontal="left" vertical="center"/>
    </xf>
    <xf numFmtId="0" fontId="2" fillId="8" borderId="0" xfId="0" applyFont="1" applyFill="1" applyAlignment="1">
      <alignment horizontal="center" vertical="center"/>
    </xf>
    <xf numFmtId="0" fontId="9" fillId="9" borderId="0" xfId="0" applyFont="1" applyFill="1" applyAlignment="1">
      <alignment horizontal="left" vertical="center"/>
    </xf>
    <xf numFmtId="0" fontId="2" fillId="9" borderId="0" xfId="0" applyFont="1" applyFill="1" applyAlignment="1">
      <alignment horizontal="center" vertical="center"/>
    </xf>
    <xf numFmtId="0" fontId="10" fillId="9" borderId="1" xfId="0" applyFont="1" applyFill="1" applyBorder="1" applyAlignment="1">
      <alignment horizontal="center" vertical="center" wrapText="1"/>
    </xf>
    <xf numFmtId="0" fontId="11" fillId="10" borderId="2" xfId="0" applyFont="1" applyFill="1" applyBorder="1" applyAlignment="1">
      <alignment horizontal="center" vertical="center"/>
    </xf>
    <xf numFmtId="164" fontId="11" fillId="10" borderId="2" xfId="0" applyNumberFormat="1" applyFont="1" applyFill="1" applyBorder="1" applyAlignment="1">
      <alignment horizontal="center" vertical="center"/>
    </xf>
    <xf numFmtId="0" fontId="9" fillId="8" borderId="0" xfId="0" applyFont="1" applyFill="1" applyAlignment="1">
      <alignment horizontal="left" vertical="center"/>
    </xf>
    <xf numFmtId="0" fontId="9" fillId="2" borderId="1" xfId="0" applyFont="1" applyFill="1" applyBorder="1" applyAlignment="1">
      <alignment horizontal="center" vertical="center"/>
    </xf>
    <xf numFmtId="164" fontId="9" fillId="2" borderId="1" xfId="0" applyNumberFormat="1" applyFont="1" applyFill="1" applyBorder="1" applyAlignment="1">
      <alignment horizontal="center" vertical="center"/>
    </xf>
    <xf numFmtId="0" fontId="1" fillId="11" borderId="0" xfId="0" applyFont="1" applyFill="1" applyAlignment="1">
      <alignment horizontal="left" vertical="center"/>
    </xf>
    <xf numFmtId="0" fontId="2" fillId="11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left" vertical="center"/>
    </xf>
    <xf numFmtId="0" fontId="2" fillId="6" borderId="0" xfId="0" applyFont="1" applyFill="1" applyAlignment="1">
      <alignment horizontal="center" vertical="center"/>
    </xf>
    <xf numFmtId="0" fontId="9" fillId="11" borderId="0" xfId="0" applyFont="1" applyFill="1" applyAlignment="1">
      <alignment horizontal="left" vertical="center"/>
    </xf>
    <xf numFmtId="0" fontId="4" fillId="11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  <xf numFmtId="164" fontId="9" fillId="11" borderId="1" xfId="0" applyNumberFormat="1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left" vertical="center"/>
    </xf>
    <xf numFmtId="0" fontId="13" fillId="6" borderId="1" xfId="0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center" vertical="center"/>
    </xf>
    <xf numFmtId="0" fontId="15" fillId="10" borderId="1" xfId="0" applyFont="1" applyFill="1" applyBorder="1" applyAlignment="1">
      <alignment horizontal="center" vertical="center"/>
    </xf>
    <xf numFmtId="165" fontId="16" fillId="5" borderId="1" xfId="0" applyNumberFormat="1" applyFont="1" applyFill="1" applyBorder="1" applyAlignment="1">
      <alignment horizontal="center" vertical="center"/>
    </xf>
    <xf numFmtId="164" fontId="13" fillId="6" borderId="1" xfId="0" applyNumberFormat="1" applyFont="1" applyFill="1" applyBorder="1" applyAlignment="1">
      <alignment horizontal="center" vertical="center"/>
    </xf>
    <xf numFmtId="164" fontId="14" fillId="7" borderId="1" xfId="0" applyNumberFormat="1" applyFont="1" applyFill="1" applyBorder="1" applyAlignment="1">
      <alignment horizontal="center" vertical="center"/>
    </xf>
    <xf numFmtId="164" fontId="15" fillId="10" borderId="1" xfId="0" applyNumberFormat="1" applyFont="1" applyFill="1" applyBorder="1" applyAlignment="1">
      <alignment horizontal="center" vertical="center"/>
    </xf>
    <xf numFmtId="0" fontId="1" fillId="12" borderId="0" xfId="0" applyFont="1" applyFill="1" applyAlignment="1">
      <alignment horizontal="left" vertical="center"/>
    </xf>
    <xf numFmtId="0" fontId="2" fillId="12" borderId="0" xfId="0" applyFont="1" applyFill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/>
    </xf>
    <xf numFmtId="0" fontId="9" fillId="13" borderId="0" xfId="0" applyFont="1" applyFill="1" applyAlignment="1">
      <alignment horizontal="left" vertical="center"/>
    </xf>
    <xf numFmtId="0" fontId="2" fillId="1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200" b="1" baseline="0">
                <a:solidFill>
                  <a:srgbClr val="0D1B2A"/>
                </a:solidFill>
              </a:defRPr>
            </a:pPr>
            <a:r>
              <a:rPr lang="en-US" sz="1200" b="1" baseline="0">
                <a:solidFill>
                  <a:srgbClr val="0D1B2A"/>
                </a:solidFill>
              </a:rPr>
              <a:t>Nb Retraits Non Aboutis par Automate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Nb Retraits Non Aboutis</c:v>
          </c:tx>
          <c:spPr>
            <a:solidFill>
              <a:srgbClr val="2E86C1"/>
            </a:solidFill>
            <a:ln>
              <a:solidFill>
                <a:srgbClr val="1B4F72"/>
              </a:solidFill>
            </a:ln>
          </c:spPr>
          <c:dLbls>
            <c:txPr>
              <a:bodyPr/>
              <a:lstStyle/>
              <a:p>
                <a:pPr>
                  <a:defRPr sz="1000" b="1" baseline="0">
                    <a:solidFill>
                      <a:srgbClr val="1B4F72"/>
                    </a:solidFill>
                  </a:defRPr>
                </a:pPr>
                <a:endParaRPr lang="en-US"/>
              </a:p>
            </c:txPr>
            <c:showVal val="1"/>
          </c:dLbls>
          <c:cat>
            <c:numRef>
              <c:f>'📈 Graphiques'!$R$2:$R$51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cat>
          <c:val>
            <c:numRef>
              <c:f>'📈 Graphiques'!$S$2:$S$51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Automate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BDC3C7"/>
            </a:solidFill>
          </a:ln>
        </c:spPr>
        <c:txPr>
          <a:bodyPr/>
          <a:lstStyle/>
          <a:p>
            <a:pPr>
              <a:defRPr sz="900" b="1"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BF5FB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Nb Retraits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spPr>
    <a:solidFill>
      <a:srgbClr val="FAFCFF"/>
    </a:solidFill>
    <a:ln>
      <a:solidFill>
        <a:srgbClr val="BDC3C7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200" b="1" baseline="0">
                <a:solidFill>
                  <a:srgbClr val="0D1B2A"/>
                </a:solidFill>
              </a:defRPr>
            </a:pPr>
            <a:r>
              <a:rPr lang="en-US" sz="1200" b="1" baseline="0">
                <a:solidFill>
                  <a:srgbClr val="0D1B2A"/>
                </a:solidFill>
              </a:rPr>
              <a:t>Porteur vs Non Porteur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Porteur vs Non Porteur</c:v>
          </c:tx>
          <c:dPt>
            <c:idx val="0"/>
            <c:spPr>
              <a:solidFill>
                <a:srgbClr val="148F77"/>
              </a:solidFill>
            </c:spPr>
          </c:dPt>
          <c:dPt>
            <c:idx val="1"/>
            <c:spPr>
              <a:solidFill>
                <a:srgbClr val="CA6F1E"/>
              </a:solidFill>
            </c:spPr>
          </c:dPt>
          <c:dLbls>
            <c:txPr>
              <a:bodyPr/>
              <a:lstStyle/>
              <a:p>
                <a:pPr>
                  <a:defRPr sz="1200" b="1" baseline="0"/>
                </a:pPr>
                <a:endParaRPr lang="en-US"/>
              </a:p>
            </c:txPr>
            <c:showCatName val="1"/>
            <c:showPercent val="1"/>
            <c:separator>
</c:separator>
          </c:dLbls>
          <c:cat>
            <c:strRef>
              <c:f>'📈 Graphiques'!$U$2:$U$3</c:f>
              <c:strCache>
                <c:ptCount val="2"/>
                <c:pt idx="0">
                  <c:v>Porteur</c:v>
                </c:pt>
                <c:pt idx="1">
                  <c:v>Non porteur</c:v>
                </c:pt>
              </c:strCache>
            </c:strRef>
          </c:cat>
          <c:val>
            <c:numRef>
              <c:f>'📈 Graphiques'!$V$2:$V$3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firstSliceAng val="0"/>
      </c:pieChart>
    </c:plotArea>
    <c:legend>
      <c:legendPos val="b"/>
      <c:layout/>
      <c:txPr>
        <a:bodyPr/>
        <a:lstStyle/>
        <a:p>
          <a:pPr rtl="0">
            <a:defRPr sz="1000" baseline="0"/>
          </a:pPr>
          <a:endParaRPr lang="en-US"/>
        </a:p>
      </c:txPr>
    </c:legend>
    <c:plotVisOnly val="1"/>
  </c:chart>
  <c:spPr>
    <a:solidFill>
      <a:srgbClr val="FAFCFF"/>
    </a:solidFill>
    <a:ln>
      <a:solidFill>
        <a:srgbClr val="BDC3C7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200" b="1" baseline="0">
                <a:solidFill>
                  <a:srgbClr val="0D1B2A"/>
                </a:solidFill>
              </a:defRPr>
            </a:pPr>
            <a:r>
              <a:rPr lang="en-US" sz="1200" b="1" baseline="0">
                <a:solidFill>
                  <a:srgbClr val="0D1B2A"/>
                </a:solidFill>
              </a:rPr>
              <a:t>Évolution journalière des montants (€)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Montant journalier (€)</c:v>
          </c:tx>
          <c:spPr>
            <a:ln w="31750">
              <a:solidFill>
                <a:srgbClr val="8E44AD"/>
              </a:solidFill>
            </a:ln>
          </c:spPr>
          <c:marker>
            <c:symbol val="circle"/>
            <c:size val="5"/>
            <c:spPr>
              <a:solidFill>
                <a:srgbClr val="8E44AD"/>
              </a:solidFill>
              <a:ln>
                <a:solidFill>
                  <a:srgbClr val="6C3483"/>
                </a:solidFill>
              </a:ln>
            </c:spPr>
          </c:marker>
          <c:cat>
            <c:numRef>
              <c:f>'📈 Graphiques'!$X$2:$X$61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cat>
          <c:val>
            <c:numRef>
              <c:f>'📈 Graphiques'!$Y$2:$Y$61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BDC3C7"/>
            </a:solidFill>
          </a:ln>
        </c:spPr>
        <c:txPr>
          <a:bodyPr rot="-2700000" vert="horz"/>
          <a:lstStyle/>
          <a:p>
            <a:pPr>
              <a:defRPr sz="800" baseline="0"/>
            </a:pPr>
            <a:endParaRPr lang="en-US"/>
          </a:p>
        </c:txPr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>
          <c:spPr>
            <a:ln>
              <a:solidFill>
                <a:srgbClr val="F0F3F4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Montant (€)</a:t>
                </a:r>
              </a:p>
            </c:rich>
          </c:tx>
          <c:layout/>
        </c:title>
        <c:numFmt formatCode="#,##0 €" sourceLinked="0"/>
        <c:tickLblPos val="nextTo"/>
        <c:crossAx val="5003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/>
          </a:pPr>
          <a:endParaRPr lang="en-US"/>
        </a:p>
      </c:txPr>
    </c:legend>
    <c:plotVisOnly val="1"/>
  </c:chart>
  <c:spPr>
    <a:solidFill>
      <a:srgbClr val="FAFCFF"/>
    </a:solidFill>
    <a:ln>
      <a:solidFill>
        <a:srgbClr val="BDC3C7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0</xdr:rowOff>
    </xdr:from>
    <xdr:to>
      <xdr:col>6</xdr:col>
      <xdr:colOff>381000</xdr:colOff>
      <xdr:row>19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4</xdr:row>
      <xdr:rowOff>0</xdr:rowOff>
    </xdr:from>
    <xdr:to>
      <xdr:col>14</xdr:col>
      <xdr:colOff>381000</xdr:colOff>
      <xdr:row>19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23</xdr:row>
      <xdr:rowOff>0</xdr:rowOff>
    </xdr:from>
    <xdr:to>
      <xdr:col>13</xdr:col>
      <xdr:colOff>142875</xdr:colOff>
      <xdr:row>38</xdr:row>
      <xdr:rowOff>95250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D1B2A"/>
  </sheetPr>
  <dimension ref="A1:H11"/>
  <sheetViews>
    <sheetView showGridLines="0" tabSelected="1" workbookViewId="0">
      <pane ySplit="4" topLeftCell="A5" activePane="bottomLeft" state="frozen"/>
      <selection pane="bottomLeft"/>
    </sheetView>
  </sheetViews>
  <sheetFormatPr defaultRowHeight="15"/>
  <cols>
    <col min="1" max="1" width="16.7109375" customWidth="1"/>
    <col min="2" max="2" width="18.7109375" customWidth="1"/>
    <col min="3" max="3" width="28.7109375" customWidth="1"/>
    <col min="4" max="4" width="24.7109375" customWidth="1"/>
    <col min="5" max="5" width="16.7109375" customWidth="1"/>
    <col min="6" max="6" width="20.7109375" customWidth="1"/>
    <col min="7" max="7" width="14.7109375" customWidth="1"/>
    <col min="8" max="8" width="18.7109375" customWidth="1"/>
  </cols>
  <sheetData>
    <row r="1" spans="1:8" ht="42" customHeight="1">
      <c r="A1" s="1" t="s">
        <v>0</v>
      </c>
      <c r="B1" s="2"/>
      <c r="C1" s="2"/>
      <c r="D1" s="2"/>
      <c r="E1" s="2"/>
      <c r="F1" s="2"/>
      <c r="G1" s="2"/>
      <c r="H1" s="2"/>
    </row>
    <row r="2" spans="1:8" ht="18" customHeight="1">
      <c r="A2" s="3" t="s">
        <v>1</v>
      </c>
      <c r="B2" s="4"/>
      <c r="C2" s="4"/>
      <c r="D2" s="4"/>
      <c r="E2" s="4"/>
      <c r="F2" s="4"/>
      <c r="G2" s="4"/>
      <c r="H2" s="4"/>
    </row>
    <row r="3" spans="1:8" ht="6" customHeight="1">
      <c r="A3" s="5"/>
      <c r="B3" s="5"/>
      <c r="C3" s="5"/>
      <c r="D3" s="5"/>
      <c r="E3" s="5"/>
      <c r="F3" s="5"/>
      <c r="G3" s="5"/>
      <c r="H3" s="5"/>
    </row>
    <row r="4" spans="1:8" ht="36" customHeight="1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6" t="s">
        <v>8</v>
      </c>
      <c r="H4" s="6" t="s">
        <v>9</v>
      </c>
    </row>
    <row r="5" spans="1:8" ht="20" customHeight="1">
      <c r="A5" s="7" t="s">
        <v>10</v>
      </c>
      <c r="B5" s="8" t="s">
        <v>11</v>
      </c>
      <c r="C5" s="9" t="s">
        <v>12</v>
      </c>
      <c r="D5" s="7" t="s">
        <v>13</v>
      </c>
      <c r="E5" s="10" t="s">
        <v>14</v>
      </c>
      <c r="F5" s="7">
        <v>1</v>
      </c>
      <c r="G5" s="11">
        <v>250</v>
      </c>
      <c r="H5" s="7"/>
    </row>
    <row r="6" spans="1:8" ht="20" customHeight="1">
      <c r="A6" s="12" t="s">
        <v>10</v>
      </c>
      <c r="B6" s="13" t="s">
        <v>15</v>
      </c>
      <c r="C6" s="14" t="s">
        <v>16</v>
      </c>
      <c r="D6" s="12" t="s">
        <v>17</v>
      </c>
      <c r="E6" s="15" t="s">
        <v>18</v>
      </c>
      <c r="F6" s="12">
        <v>1</v>
      </c>
      <c r="G6" s="16">
        <v>100</v>
      </c>
      <c r="H6" s="12"/>
    </row>
    <row r="7" spans="1:8" ht="20" customHeight="1">
      <c r="A7" s="7" t="s">
        <v>10</v>
      </c>
      <c r="B7" s="8" t="s">
        <v>19</v>
      </c>
      <c r="C7" s="9" t="s">
        <v>20</v>
      </c>
      <c r="D7" s="7" t="s">
        <v>21</v>
      </c>
      <c r="E7" s="10" t="s">
        <v>14</v>
      </c>
      <c r="F7" s="7">
        <v>2</v>
      </c>
      <c r="G7" s="11">
        <v>460</v>
      </c>
      <c r="H7" s="7"/>
    </row>
    <row r="8" spans="1:8" ht="20" customHeight="1">
      <c r="A8" s="12" t="s">
        <v>10</v>
      </c>
      <c r="B8" s="13" t="s">
        <v>22</v>
      </c>
      <c r="C8" s="14" t="s">
        <v>23</v>
      </c>
      <c r="D8" s="12" t="s">
        <v>24</v>
      </c>
      <c r="E8" s="15" t="s">
        <v>18</v>
      </c>
      <c r="F8" s="12">
        <v>1</v>
      </c>
      <c r="G8" s="16">
        <v>10</v>
      </c>
      <c r="H8" s="12"/>
    </row>
    <row r="9" spans="1:8" ht="20" customHeight="1">
      <c r="A9" s="7" t="s">
        <v>10</v>
      </c>
      <c r="B9" s="8" t="s">
        <v>25</v>
      </c>
      <c r="C9" s="9" t="s">
        <v>26</v>
      </c>
      <c r="D9" s="7" t="s">
        <v>27</v>
      </c>
      <c r="E9" s="10" t="s">
        <v>14</v>
      </c>
      <c r="F9" s="7">
        <v>1</v>
      </c>
      <c r="G9" s="11">
        <v>600</v>
      </c>
      <c r="H9" s="7"/>
    </row>
    <row r="11" spans="1:8">
      <c r="A11" s="17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1B4F72"/>
  </sheetPr>
  <dimension ref="A1:F60"/>
  <sheetViews>
    <sheetView showGridLines="0" workbookViewId="0">
      <pane ySplit="9" topLeftCell="A10" activePane="bottomLeft" state="frozen"/>
      <selection pane="bottomLeft"/>
    </sheetView>
  </sheetViews>
  <sheetFormatPr defaultRowHeight="15"/>
  <cols>
    <col min="1" max="1" width="20.7109375" customWidth="1"/>
    <col min="2" max="2" width="28.7109375" customWidth="1"/>
    <col min="3" max="3" width="22.7109375" customWidth="1"/>
    <col min="4" max="5" width="20.7109375" customWidth="1"/>
    <col min="6" max="6" width="22.7109375" customWidth="1"/>
  </cols>
  <sheetData>
    <row r="1" spans="1:6" ht="42" customHeight="1">
      <c r="A1" s="18" t="s">
        <v>29</v>
      </c>
      <c r="B1" s="19"/>
      <c r="C1" s="19"/>
      <c r="D1" s="19"/>
      <c r="E1" s="19"/>
      <c r="F1" s="19"/>
    </row>
    <row r="2" spans="1:6" ht="18" customHeight="1">
      <c r="A2" s="3" t="s">
        <v>30</v>
      </c>
      <c r="B2" s="4"/>
      <c r="C2" s="4"/>
      <c r="D2" s="4"/>
      <c r="E2" s="4"/>
      <c r="F2" s="4"/>
    </row>
    <row r="3" spans="1:6" ht="6" customHeight="1">
      <c r="A3" s="5"/>
      <c r="B3" s="5"/>
      <c r="C3" s="5"/>
      <c r="D3" s="5"/>
      <c r="E3" s="5"/>
      <c r="F3" s="5"/>
    </row>
    <row r="4" spans="1:6" ht="26" customHeight="1">
      <c r="A4" s="20" t="s">
        <v>31</v>
      </c>
      <c r="B4" s="21"/>
      <c r="C4" s="21"/>
      <c r="D4" s="21"/>
      <c r="E4" s="21"/>
      <c r="F4" s="21"/>
    </row>
    <row r="5" spans="1:6" ht="30" customHeight="1">
      <c r="A5" s="22" t="s">
        <v>32</v>
      </c>
      <c r="B5" s="22" t="s">
        <v>33</v>
      </c>
      <c r="C5" s="22" t="s">
        <v>34</v>
      </c>
      <c r="D5" s="22" t="s">
        <v>35</v>
      </c>
      <c r="E5" s="22" t="s">
        <v>36</v>
      </c>
      <c r="F5" s="22" t="s">
        <v>37</v>
      </c>
    </row>
    <row r="6" spans="1:6" ht="38" customHeight="1">
      <c r="A6" s="23">
        <f>COUNTA('📥 Data Source'!B5:B38201)</f>
        <v>0</v>
      </c>
      <c r="B6" s="23">
        <f>SUM('📥 Data Source'!F5:F38201)</f>
        <v>0</v>
      </c>
      <c r="C6" s="24">
        <f>SUM('📥 Data Source'!G5:G38201)</f>
        <v>0</v>
      </c>
      <c r="D6" s="23">
        <f>SUMIF('📥 Data Source'!E5:E38201,"Porteur",'📥 Data Source'!F5:F38201)</f>
        <v>0</v>
      </c>
      <c r="E6" s="24">
        <f>SUMIF('📥 Data Source'!E5:E38201,"Porteur",'📥 Data Source'!G5:G38201)</f>
        <v>0</v>
      </c>
      <c r="F6" s="24">
        <f>SUMIF('📥 Data Source'!E5:E38201,"Non porteur",'📥 Data Source'!G5:G38201)</f>
        <v>0</v>
      </c>
    </row>
    <row r="7" spans="1:6" ht="10" customHeight="1"/>
    <row r="8" spans="1:6" ht="26" customHeight="1">
      <c r="A8" s="25" t="s">
        <v>38</v>
      </c>
      <c r="B8" s="19"/>
      <c r="C8" s="19"/>
      <c r="D8" s="19"/>
      <c r="E8" s="19"/>
      <c r="F8" s="19"/>
    </row>
    <row r="9" spans="1:6" ht="34" customHeight="1">
      <c r="A9" s="6" t="s">
        <v>3</v>
      </c>
      <c r="B9" s="6" t="s">
        <v>39</v>
      </c>
      <c r="C9" s="6" t="s">
        <v>40</v>
      </c>
      <c r="D9" s="6" t="s">
        <v>41</v>
      </c>
      <c r="E9" s="6" t="s">
        <v>42</v>
      </c>
      <c r="F9" s="6" t="s">
        <v>43</v>
      </c>
    </row>
    <row r="10" spans="1:6" ht="20" customHeight="1">
      <c r="A10" s="8">
        <f t="array" ref="A10">IFERROR(INDEX('📥 Data Source'!$B$5:$B$38201,MATCH(0,COUNTIF($A$9:A9,'📥 Data Source'!$B$5:$B$38201)+IF('📥 Data Source'!$B$5:$B$38201="",1,0),0)),"")</f>
        <v>0</v>
      </c>
      <c r="B10" s="9">
        <f>IFERROR(IF(A10="","",INDEX('📥 Data Source'!$C$5:$C$38201,MATCH(A10,'📥 Data Source'!$B$5:$B$38201,0))),"")</f>
        <v>0</v>
      </c>
      <c r="C10" s="7">
        <f>IF(A10="","",SUMIF('📥 Data Source'!$B$5:$B$38201,A10,'📥 Data Source'!$F$5:$F$38201))</f>
        <v>0</v>
      </c>
      <c r="D10" s="11">
        <f>IF(A10="","",SUMIF('📥 Data Source'!$B$5:$B$38201,A10,'📥 Data Source'!$G$5:$G$38201))</f>
        <v>0</v>
      </c>
      <c r="E10" s="7">
        <f>IF(A10="","",COUNTIFS('📥 Data Source'!$B$5:$B$38201,A10,'📥 Data Source'!$E$5:$E$38201,"Porteur"))</f>
        <v>0</v>
      </c>
      <c r="F10" s="7">
        <f>IF(A10="","",COUNTIFS('📥 Data Source'!$B$5:$B$38201,A10,'📥 Data Source'!$E$5:$E$38201,"Non porteur"))</f>
        <v>0</v>
      </c>
    </row>
    <row r="11" spans="1:6" ht="20" customHeight="1">
      <c r="A11" s="13">
        <f t="array" ref="A11">IFERROR(INDEX('📥 Data Source'!$B$5:$B$38201,MATCH(0,COUNTIF($A$9:A10,'📥 Data Source'!$B$5:$B$38201)+IF('📥 Data Source'!$B$5:$B$38201="",1,0),0)),"")</f>
        <v>0</v>
      </c>
      <c r="B11" s="14">
        <f>IFERROR(IF(A11="","",INDEX('📥 Data Source'!$C$5:$C$38201,MATCH(A11,'📥 Data Source'!$B$5:$B$38201,0))),"")</f>
        <v>0</v>
      </c>
      <c r="C11" s="12">
        <f>IF(A11="","",SUMIF('📥 Data Source'!$B$5:$B$38201,A11,'📥 Data Source'!$F$5:$F$38201))</f>
        <v>0</v>
      </c>
      <c r="D11" s="16">
        <f>IF(A11="","",SUMIF('📥 Data Source'!$B$5:$B$38201,A11,'📥 Data Source'!$G$5:$G$38201))</f>
        <v>0</v>
      </c>
      <c r="E11" s="12">
        <f>IF(A11="","",COUNTIFS('📥 Data Source'!$B$5:$B$38201,A11,'📥 Data Source'!$E$5:$E$38201,"Porteur"))</f>
        <v>0</v>
      </c>
      <c r="F11" s="12">
        <f>IF(A11="","",COUNTIFS('📥 Data Source'!$B$5:$B$38201,A11,'📥 Data Source'!$E$5:$E$38201,"Non porteur"))</f>
        <v>0</v>
      </c>
    </row>
    <row r="12" spans="1:6" ht="20" customHeight="1">
      <c r="A12" s="8">
        <f t="array" ref="A12">IFERROR(INDEX('📥 Data Source'!$B$5:$B$38201,MATCH(0,COUNTIF($A$9:A11,'📥 Data Source'!$B$5:$B$38201)+IF('📥 Data Source'!$B$5:$B$38201="",1,0),0)),"")</f>
        <v>0</v>
      </c>
      <c r="B12" s="9">
        <f>IFERROR(IF(A12="","",INDEX('📥 Data Source'!$C$5:$C$38201,MATCH(A12,'📥 Data Source'!$B$5:$B$38201,0))),"")</f>
        <v>0</v>
      </c>
      <c r="C12" s="7">
        <f>IF(A12="","",SUMIF('📥 Data Source'!$B$5:$B$38201,A12,'📥 Data Source'!$F$5:$F$38201))</f>
        <v>0</v>
      </c>
      <c r="D12" s="11">
        <f>IF(A12="","",SUMIF('📥 Data Source'!$B$5:$B$38201,A12,'📥 Data Source'!$G$5:$G$38201))</f>
        <v>0</v>
      </c>
      <c r="E12" s="7">
        <f>IF(A12="","",COUNTIFS('📥 Data Source'!$B$5:$B$38201,A12,'📥 Data Source'!$E$5:$E$38201,"Porteur"))</f>
        <v>0</v>
      </c>
      <c r="F12" s="7">
        <f>IF(A12="","",COUNTIFS('📥 Data Source'!$B$5:$B$38201,A12,'📥 Data Source'!$E$5:$E$38201,"Non porteur"))</f>
        <v>0</v>
      </c>
    </row>
    <row r="13" spans="1:6" ht="20" customHeight="1">
      <c r="A13" s="13">
        <f t="array" ref="A13">IFERROR(INDEX('📥 Data Source'!$B$5:$B$38201,MATCH(0,COUNTIF($A$9:A12,'📥 Data Source'!$B$5:$B$38201)+IF('📥 Data Source'!$B$5:$B$38201="",1,0),0)),"")</f>
        <v>0</v>
      </c>
      <c r="B13" s="14">
        <f>IFERROR(IF(A13="","",INDEX('📥 Data Source'!$C$5:$C$38201,MATCH(A13,'📥 Data Source'!$B$5:$B$38201,0))),"")</f>
        <v>0</v>
      </c>
      <c r="C13" s="12">
        <f>IF(A13="","",SUMIF('📥 Data Source'!$B$5:$B$38201,A13,'📥 Data Source'!$F$5:$F$38201))</f>
        <v>0</v>
      </c>
      <c r="D13" s="16">
        <f>IF(A13="","",SUMIF('📥 Data Source'!$B$5:$B$38201,A13,'📥 Data Source'!$G$5:$G$38201))</f>
        <v>0</v>
      </c>
      <c r="E13" s="12">
        <f>IF(A13="","",COUNTIFS('📥 Data Source'!$B$5:$B$38201,A13,'📥 Data Source'!$E$5:$E$38201,"Porteur"))</f>
        <v>0</v>
      </c>
      <c r="F13" s="12">
        <f>IF(A13="","",COUNTIFS('📥 Data Source'!$B$5:$B$38201,A13,'📥 Data Source'!$E$5:$E$38201,"Non porteur"))</f>
        <v>0</v>
      </c>
    </row>
    <row r="14" spans="1:6" ht="20" customHeight="1">
      <c r="A14" s="8">
        <f t="array" ref="A14">IFERROR(INDEX('📥 Data Source'!$B$5:$B$38201,MATCH(0,COUNTIF($A$9:A13,'📥 Data Source'!$B$5:$B$38201)+IF('📥 Data Source'!$B$5:$B$38201="",1,0),0)),"")</f>
        <v>0</v>
      </c>
      <c r="B14" s="9">
        <f>IFERROR(IF(A14="","",INDEX('📥 Data Source'!$C$5:$C$38201,MATCH(A14,'📥 Data Source'!$B$5:$B$38201,0))),"")</f>
        <v>0</v>
      </c>
      <c r="C14" s="7">
        <f>IF(A14="","",SUMIF('📥 Data Source'!$B$5:$B$38201,A14,'📥 Data Source'!$F$5:$F$38201))</f>
        <v>0</v>
      </c>
      <c r="D14" s="11">
        <f>IF(A14="","",SUMIF('📥 Data Source'!$B$5:$B$38201,A14,'📥 Data Source'!$G$5:$G$38201))</f>
        <v>0</v>
      </c>
      <c r="E14" s="7">
        <f>IF(A14="","",COUNTIFS('📥 Data Source'!$B$5:$B$38201,A14,'📥 Data Source'!$E$5:$E$38201,"Porteur"))</f>
        <v>0</v>
      </c>
      <c r="F14" s="7">
        <f>IF(A14="","",COUNTIFS('📥 Data Source'!$B$5:$B$38201,A14,'📥 Data Source'!$E$5:$E$38201,"Non porteur"))</f>
        <v>0</v>
      </c>
    </row>
    <row r="15" spans="1:6" ht="20" customHeight="1">
      <c r="A15" s="13">
        <f t="array" ref="A15">IFERROR(INDEX('📥 Data Source'!$B$5:$B$38201,MATCH(0,COUNTIF($A$9:A14,'📥 Data Source'!$B$5:$B$38201)+IF('📥 Data Source'!$B$5:$B$38201="",1,0),0)),"")</f>
        <v>0</v>
      </c>
      <c r="B15" s="14">
        <f>IFERROR(IF(A15="","",INDEX('📥 Data Source'!$C$5:$C$38201,MATCH(A15,'📥 Data Source'!$B$5:$B$38201,0))),"")</f>
        <v>0</v>
      </c>
      <c r="C15" s="12">
        <f>IF(A15="","",SUMIF('📥 Data Source'!$B$5:$B$38201,A15,'📥 Data Source'!$F$5:$F$38201))</f>
        <v>0</v>
      </c>
      <c r="D15" s="16">
        <f>IF(A15="","",SUMIF('📥 Data Source'!$B$5:$B$38201,A15,'📥 Data Source'!$G$5:$G$38201))</f>
        <v>0</v>
      </c>
      <c r="E15" s="12">
        <f>IF(A15="","",COUNTIFS('📥 Data Source'!$B$5:$B$38201,A15,'📥 Data Source'!$E$5:$E$38201,"Porteur"))</f>
        <v>0</v>
      </c>
      <c r="F15" s="12">
        <f>IF(A15="","",COUNTIFS('📥 Data Source'!$B$5:$B$38201,A15,'📥 Data Source'!$E$5:$E$38201,"Non porteur"))</f>
        <v>0</v>
      </c>
    </row>
    <row r="16" spans="1:6" ht="20" customHeight="1">
      <c r="A16" s="8">
        <f t="array" ref="A16">IFERROR(INDEX('📥 Data Source'!$B$5:$B$38201,MATCH(0,COUNTIF($A$9:A15,'📥 Data Source'!$B$5:$B$38201)+IF('📥 Data Source'!$B$5:$B$38201="",1,0),0)),"")</f>
        <v>0</v>
      </c>
      <c r="B16" s="9">
        <f>IFERROR(IF(A16="","",INDEX('📥 Data Source'!$C$5:$C$38201,MATCH(A16,'📥 Data Source'!$B$5:$B$38201,0))),"")</f>
        <v>0</v>
      </c>
      <c r="C16" s="7">
        <f>IF(A16="","",SUMIF('📥 Data Source'!$B$5:$B$38201,A16,'📥 Data Source'!$F$5:$F$38201))</f>
        <v>0</v>
      </c>
      <c r="D16" s="11">
        <f>IF(A16="","",SUMIF('📥 Data Source'!$B$5:$B$38201,A16,'📥 Data Source'!$G$5:$G$38201))</f>
        <v>0</v>
      </c>
      <c r="E16" s="7">
        <f>IF(A16="","",COUNTIFS('📥 Data Source'!$B$5:$B$38201,A16,'📥 Data Source'!$E$5:$E$38201,"Porteur"))</f>
        <v>0</v>
      </c>
      <c r="F16" s="7">
        <f>IF(A16="","",COUNTIFS('📥 Data Source'!$B$5:$B$38201,A16,'📥 Data Source'!$E$5:$E$38201,"Non porteur"))</f>
        <v>0</v>
      </c>
    </row>
    <row r="17" spans="1:6" ht="20" customHeight="1">
      <c r="A17" s="13">
        <f t="array" ref="A17">IFERROR(INDEX('📥 Data Source'!$B$5:$B$38201,MATCH(0,COUNTIF($A$9:A16,'📥 Data Source'!$B$5:$B$38201)+IF('📥 Data Source'!$B$5:$B$38201="",1,0),0)),"")</f>
        <v>0</v>
      </c>
      <c r="B17" s="14">
        <f>IFERROR(IF(A17="","",INDEX('📥 Data Source'!$C$5:$C$38201,MATCH(A17,'📥 Data Source'!$B$5:$B$38201,0))),"")</f>
        <v>0</v>
      </c>
      <c r="C17" s="12">
        <f>IF(A17="","",SUMIF('📥 Data Source'!$B$5:$B$38201,A17,'📥 Data Source'!$F$5:$F$38201))</f>
        <v>0</v>
      </c>
      <c r="D17" s="16">
        <f>IF(A17="","",SUMIF('📥 Data Source'!$B$5:$B$38201,A17,'📥 Data Source'!$G$5:$G$38201))</f>
        <v>0</v>
      </c>
      <c r="E17" s="12">
        <f>IF(A17="","",COUNTIFS('📥 Data Source'!$B$5:$B$38201,A17,'📥 Data Source'!$E$5:$E$38201,"Porteur"))</f>
        <v>0</v>
      </c>
      <c r="F17" s="12">
        <f>IF(A17="","",COUNTIFS('📥 Data Source'!$B$5:$B$38201,A17,'📥 Data Source'!$E$5:$E$38201,"Non porteur"))</f>
        <v>0</v>
      </c>
    </row>
    <row r="18" spans="1:6" ht="20" customHeight="1">
      <c r="A18" s="8">
        <f t="array" ref="A18">IFERROR(INDEX('📥 Data Source'!$B$5:$B$38201,MATCH(0,COUNTIF($A$9:A17,'📥 Data Source'!$B$5:$B$38201)+IF('📥 Data Source'!$B$5:$B$38201="",1,0),0)),"")</f>
        <v>0</v>
      </c>
      <c r="B18" s="9">
        <f>IFERROR(IF(A18="","",INDEX('📥 Data Source'!$C$5:$C$38201,MATCH(A18,'📥 Data Source'!$B$5:$B$38201,0))),"")</f>
        <v>0</v>
      </c>
      <c r="C18" s="7">
        <f>IF(A18="","",SUMIF('📥 Data Source'!$B$5:$B$38201,A18,'📥 Data Source'!$F$5:$F$38201))</f>
        <v>0</v>
      </c>
      <c r="D18" s="11">
        <f>IF(A18="","",SUMIF('📥 Data Source'!$B$5:$B$38201,A18,'📥 Data Source'!$G$5:$G$38201))</f>
        <v>0</v>
      </c>
      <c r="E18" s="7">
        <f>IF(A18="","",COUNTIFS('📥 Data Source'!$B$5:$B$38201,A18,'📥 Data Source'!$E$5:$E$38201,"Porteur"))</f>
        <v>0</v>
      </c>
      <c r="F18" s="7">
        <f>IF(A18="","",COUNTIFS('📥 Data Source'!$B$5:$B$38201,A18,'📥 Data Source'!$E$5:$E$38201,"Non porteur"))</f>
        <v>0</v>
      </c>
    </row>
    <row r="19" spans="1:6" ht="20" customHeight="1">
      <c r="A19" s="13">
        <f t="array" ref="A19">IFERROR(INDEX('📥 Data Source'!$B$5:$B$38201,MATCH(0,COUNTIF($A$9:A18,'📥 Data Source'!$B$5:$B$38201)+IF('📥 Data Source'!$B$5:$B$38201="",1,0),0)),"")</f>
        <v>0</v>
      </c>
      <c r="B19" s="14">
        <f>IFERROR(IF(A19="","",INDEX('📥 Data Source'!$C$5:$C$38201,MATCH(A19,'📥 Data Source'!$B$5:$B$38201,0))),"")</f>
        <v>0</v>
      </c>
      <c r="C19" s="12">
        <f>IF(A19="","",SUMIF('📥 Data Source'!$B$5:$B$38201,A19,'📥 Data Source'!$F$5:$F$38201))</f>
        <v>0</v>
      </c>
      <c r="D19" s="16">
        <f>IF(A19="","",SUMIF('📥 Data Source'!$B$5:$B$38201,A19,'📥 Data Source'!$G$5:$G$38201))</f>
        <v>0</v>
      </c>
      <c r="E19" s="12">
        <f>IF(A19="","",COUNTIFS('📥 Data Source'!$B$5:$B$38201,A19,'📥 Data Source'!$E$5:$E$38201,"Porteur"))</f>
        <v>0</v>
      </c>
      <c r="F19" s="12">
        <f>IF(A19="","",COUNTIFS('📥 Data Source'!$B$5:$B$38201,A19,'📥 Data Source'!$E$5:$E$38201,"Non porteur"))</f>
        <v>0</v>
      </c>
    </row>
    <row r="20" spans="1:6" ht="20" customHeight="1">
      <c r="A20" s="8">
        <f t="array" ref="A20">IFERROR(INDEX('📥 Data Source'!$B$5:$B$38201,MATCH(0,COUNTIF($A$9:A19,'📥 Data Source'!$B$5:$B$38201)+IF('📥 Data Source'!$B$5:$B$38201="",1,0),0)),"")</f>
        <v>0</v>
      </c>
      <c r="B20" s="9">
        <f>IFERROR(IF(A20="","",INDEX('📥 Data Source'!$C$5:$C$38201,MATCH(A20,'📥 Data Source'!$B$5:$B$38201,0))),"")</f>
        <v>0</v>
      </c>
      <c r="C20" s="7">
        <f>IF(A20="","",SUMIF('📥 Data Source'!$B$5:$B$38201,A20,'📥 Data Source'!$F$5:$F$38201))</f>
        <v>0</v>
      </c>
      <c r="D20" s="11">
        <f>IF(A20="","",SUMIF('📥 Data Source'!$B$5:$B$38201,A20,'📥 Data Source'!$G$5:$G$38201))</f>
        <v>0</v>
      </c>
      <c r="E20" s="7">
        <f>IF(A20="","",COUNTIFS('📥 Data Source'!$B$5:$B$38201,A20,'📥 Data Source'!$E$5:$E$38201,"Porteur"))</f>
        <v>0</v>
      </c>
      <c r="F20" s="7">
        <f>IF(A20="","",COUNTIFS('📥 Data Source'!$B$5:$B$38201,A20,'📥 Data Source'!$E$5:$E$38201,"Non porteur"))</f>
        <v>0</v>
      </c>
    </row>
    <row r="21" spans="1:6" ht="20" customHeight="1">
      <c r="A21" s="13">
        <f t="array" ref="A21">IFERROR(INDEX('📥 Data Source'!$B$5:$B$38201,MATCH(0,COUNTIF($A$9:A20,'📥 Data Source'!$B$5:$B$38201)+IF('📥 Data Source'!$B$5:$B$38201="",1,0),0)),"")</f>
        <v>0</v>
      </c>
      <c r="B21" s="14">
        <f>IFERROR(IF(A21="","",INDEX('📥 Data Source'!$C$5:$C$38201,MATCH(A21,'📥 Data Source'!$B$5:$B$38201,0))),"")</f>
        <v>0</v>
      </c>
      <c r="C21" s="12">
        <f>IF(A21="","",SUMIF('📥 Data Source'!$B$5:$B$38201,A21,'📥 Data Source'!$F$5:$F$38201))</f>
        <v>0</v>
      </c>
      <c r="D21" s="16">
        <f>IF(A21="","",SUMIF('📥 Data Source'!$B$5:$B$38201,A21,'📥 Data Source'!$G$5:$G$38201))</f>
        <v>0</v>
      </c>
      <c r="E21" s="12">
        <f>IF(A21="","",COUNTIFS('📥 Data Source'!$B$5:$B$38201,A21,'📥 Data Source'!$E$5:$E$38201,"Porteur"))</f>
        <v>0</v>
      </c>
      <c r="F21" s="12">
        <f>IF(A21="","",COUNTIFS('📥 Data Source'!$B$5:$B$38201,A21,'📥 Data Source'!$E$5:$E$38201,"Non porteur"))</f>
        <v>0</v>
      </c>
    </row>
    <row r="22" spans="1:6" ht="20" customHeight="1">
      <c r="A22" s="8">
        <f t="array" ref="A22">IFERROR(INDEX('📥 Data Source'!$B$5:$B$38201,MATCH(0,COUNTIF($A$9:A21,'📥 Data Source'!$B$5:$B$38201)+IF('📥 Data Source'!$B$5:$B$38201="",1,0),0)),"")</f>
        <v>0</v>
      </c>
      <c r="B22" s="9">
        <f>IFERROR(IF(A22="","",INDEX('📥 Data Source'!$C$5:$C$38201,MATCH(A22,'📥 Data Source'!$B$5:$B$38201,0))),"")</f>
        <v>0</v>
      </c>
      <c r="C22" s="7">
        <f>IF(A22="","",SUMIF('📥 Data Source'!$B$5:$B$38201,A22,'📥 Data Source'!$F$5:$F$38201))</f>
        <v>0</v>
      </c>
      <c r="D22" s="11">
        <f>IF(A22="","",SUMIF('📥 Data Source'!$B$5:$B$38201,A22,'📥 Data Source'!$G$5:$G$38201))</f>
        <v>0</v>
      </c>
      <c r="E22" s="7">
        <f>IF(A22="","",COUNTIFS('📥 Data Source'!$B$5:$B$38201,A22,'📥 Data Source'!$E$5:$E$38201,"Porteur"))</f>
        <v>0</v>
      </c>
      <c r="F22" s="7">
        <f>IF(A22="","",COUNTIFS('📥 Data Source'!$B$5:$B$38201,A22,'📥 Data Source'!$E$5:$E$38201,"Non porteur"))</f>
        <v>0</v>
      </c>
    </row>
    <row r="23" spans="1:6" ht="20" customHeight="1">
      <c r="A23" s="13">
        <f t="array" ref="A23">IFERROR(INDEX('📥 Data Source'!$B$5:$B$38201,MATCH(0,COUNTIF($A$9:A22,'📥 Data Source'!$B$5:$B$38201)+IF('📥 Data Source'!$B$5:$B$38201="",1,0),0)),"")</f>
        <v>0</v>
      </c>
      <c r="B23" s="14">
        <f>IFERROR(IF(A23="","",INDEX('📥 Data Source'!$C$5:$C$38201,MATCH(A23,'📥 Data Source'!$B$5:$B$38201,0))),"")</f>
        <v>0</v>
      </c>
      <c r="C23" s="12">
        <f>IF(A23="","",SUMIF('📥 Data Source'!$B$5:$B$38201,A23,'📥 Data Source'!$F$5:$F$38201))</f>
        <v>0</v>
      </c>
      <c r="D23" s="16">
        <f>IF(A23="","",SUMIF('📥 Data Source'!$B$5:$B$38201,A23,'📥 Data Source'!$G$5:$G$38201))</f>
        <v>0</v>
      </c>
      <c r="E23" s="12">
        <f>IF(A23="","",COUNTIFS('📥 Data Source'!$B$5:$B$38201,A23,'📥 Data Source'!$E$5:$E$38201,"Porteur"))</f>
        <v>0</v>
      </c>
      <c r="F23" s="12">
        <f>IF(A23="","",COUNTIFS('📥 Data Source'!$B$5:$B$38201,A23,'📥 Data Source'!$E$5:$E$38201,"Non porteur"))</f>
        <v>0</v>
      </c>
    </row>
    <row r="24" spans="1:6" ht="20" customHeight="1">
      <c r="A24" s="8">
        <f t="array" ref="A24">IFERROR(INDEX('📥 Data Source'!$B$5:$B$38201,MATCH(0,COUNTIF($A$9:A23,'📥 Data Source'!$B$5:$B$38201)+IF('📥 Data Source'!$B$5:$B$38201="",1,0),0)),"")</f>
        <v>0</v>
      </c>
      <c r="B24" s="9">
        <f>IFERROR(IF(A24="","",INDEX('📥 Data Source'!$C$5:$C$38201,MATCH(A24,'📥 Data Source'!$B$5:$B$38201,0))),"")</f>
        <v>0</v>
      </c>
      <c r="C24" s="7">
        <f>IF(A24="","",SUMIF('📥 Data Source'!$B$5:$B$38201,A24,'📥 Data Source'!$F$5:$F$38201))</f>
        <v>0</v>
      </c>
      <c r="D24" s="11">
        <f>IF(A24="","",SUMIF('📥 Data Source'!$B$5:$B$38201,A24,'📥 Data Source'!$G$5:$G$38201))</f>
        <v>0</v>
      </c>
      <c r="E24" s="7">
        <f>IF(A24="","",COUNTIFS('📥 Data Source'!$B$5:$B$38201,A24,'📥 Data Source'!$E$5:$E$38201,"Porteur"))</f>
        <v>0</v>
      </c>
      <c r="F24" s="7">
        <f>IF(A24="","",COUNTIFS('📥 Data Source'!$B$5:$B$38201,A24,'📥 Data Source'!$E$5:$E$38201,"Non porteur"))</f>
        <v>0</v>
      </c>
    </row>
    <row r="25" spans="1:6" ht="20" customHeight="1">
      <c r="A25" s="13">
        <f t="array" ref="A25">IFERROR(INDEX('📥 Data Source'!$B$5:$B$38201,MATCH(0,COUNTIF($A$9:A24,'📥 Data Source'!$B$5:$B$38201)+IF('📥 Data Source'!$B$5:$B$38201="",1,0),0)),"")</f>
        <v>0</v>
      </c>
      <c r="B25" s="14">
        <f>IFERROR(IF(A25="","",INDEX('📥 Data Source'!$C$5:$C$38201,MATCH(A25,'📥 Data Source'!$B$5:$B$38201,0))),"")</f>
        <v>0</v>
      </c>
      <c r="C25" s="12">
        <f>IF(A25="","",SUMIF('📥 Data Source'!$B$5:$B$38201,A25,'📥 Data Source'!$F$5:$F$38201))</f>
        <v>0</v>
      </c>
      <c r="D25" s="16">
        <f>IF(A25="","",SUMIF('📥 Data Source'!$B$5:$B$38201,A25,'📥 Data Source'!$G$5:$G$38201))</f>
        <v>0</v>
      </c>
      <c r="E25" s="12">
        <f>IF(A25="","",COUNTIFS('📥 Data Source'!$B$5:$B$38201,A25,'📥 Data Source'!$E$5:$E$38201,"Porteur"))</f>
        <v>0</v>
      </c>
      <c r="F25" s="12">
        <f>IF(A25="","",COUNTIFS('📥 Data Source'!$B$5:$B$38201,A25,'📥 Data Source'!$E$5:$E$38201,"Non porteur"))</f>
        <v>0</v>
      </c>
    </row>
    <row r="26" spans="1:6" ht="20" customHeight="1">
      <c r="A26" s="8">
        <f t="array" ref="A26">IFERROR(INDEX('📥 Data Source'!$B$5:$B$38201,MATCH(0,COUNTIF($A$9:A25,'📥 Data Source'!$B$5:$B$38201)+IF('📥 Data Source'!$B$5:$B$38201="",1,0),0)),"")</f>
        <v>0</v>
      </c>
      <c r="B26" s="9">
        <f>IFERROR(IF(A26="","",INDEX('📥 Data Source'!$C$5:$C$38201,MATCH(A26,'📥 Data Source'!$B$5:$B$38201,0))),"")</f>
        <v>0</v>
      </c>
      <c r="C26" s="7">
        <f>IF(A26="","",SUMIF('📥 Data Source'!$B$5:$B$38201,A26,'📥 Data Source'!$F$5:$F$38201))</f>
        <v>0</v>
      </c>
      <c r="D26" s="11">
        <f>IF(A26="","",SUMIF('📥 Data Source'!$B$5:$B$38201,A26,'📥 Data Source'!$G$5:$G$38201))</f>
        <v>0</v>
      </c>
      <c r="E26" s="7">
        <f>IF(A26="","",COUNTIFS('📥 Data Source'!$B$5:$B$38201,A26,'📥 Data Source'!$E$5:$E$38201,"Porteur"))</f>
        <v>0</v>
      </c>
      <c r="F26" s="7">
        <f>IF(A26="","",COUNTIFS('📥 Data Source'!$B$5:$B$38201,A26,'📥 Data Source'!$E$5:$E$38201,"Non porteur"))</f>
        <v>0</v>
      </c>
    </row>
    <row r="27" spans="1:6" ht="20" customHeight="1">
      <c r="A27" s="13">
        <f t="array" ref="A27">IFERROR(INDEX('📥 Data Source'!$B$5:$B$38201,MATCH(0,COUNTIF($A$9:A26,'📥 Data Source'!$B$5:$B$38201)+IF('📥 Data Source'!$B$5:$B$38201="",1,0),0)),"")</f>
        <v>0</v>
      </c>
      <c r="B27" s="14">
        <f>IFERROR(IF(A27="","",INDEX('📥 Data Source'!$C$5:$C$38201,MATCH(A27,'📥 Data Source'!$B$5:$B$38201,0))),"")</f>
        <v>0</v>
      </c>
      <c r="C27" s="12">
        <f>IF(A27="","",SUMIF('📥 Data Source'!$B$5:$B$38201,A27,'📥 Data Source'!$F$5:$F$38201))</f>
        <v>0</v>
      </c>
      <c r="D27" s="16">
        <f>IF(A27="","",SUMIF('📥 Data Source'!$B$5:$B$38201,A27,'📥 Data Source'!$G$5:$G$38201))</f>
        <v>0</v>
      </c>
      <c r="E27" s="12">
        <f>IF(A27="","",COUNTIFS('📥 Data Source'!$B$5:$B$38201,A27,'📥 Data Source'!$E$5:$E$38201,"Porteur"))</f>
        <v>0</v>
      </c>
      <c r="F27" s="12">
        <f>IF(A27="","",COUNTIFS('📥 Data Source'!$B$5:$B$38201,A27,'📥 Data Source'!$E$5:$E$38201,"Non porteur"))</f>
        <v>0</v>
      </c>
    </row>
    <row r="28" spans="1:6" ht="20" customHeight="1">
      <c r="A28" s="8">
        <f t="array" ref="A28">IFERROR(INDEX('📥 Data Source'!$B$5:$B$38201,MATCH(0,COUNTIF($A$9:A27,'📥 Data Source'!$B$5:$B$38201)+IF('📥 Data Source'!$B$5:$B$38201="",1,0),0)),"")</f>
        <v>0</v>
      </c>
      <c r="B28" s="9">
        <f>IFERROR(IF(A28="","",INDEX('📥 Data Source'!$C$5:$C$38201,MATCH(A28,'📥 Data Source'!$B$5:$B$38201,0))),"")</f>
        <v>0</v>
      </c>
      <c r="C28" s="7">
        <f>IF(A28="","",SUMIF('📥 Data Source'!$B$5:$B$38201,A28,'📥 Data Source'!$F$5:$F$38201))</f>
        <v>0</v>
      </c>
      <c r="D28" s="11">
        <f>IF(A28="","",SUMIF('📥 Data Source'!$B$5:$B$38201,A28,'📥 Data Source'!$G$5:$G$38201))</f>
        <v>0</v>
      </c>
      <c r="E28" s="7">
        <f>IF(A28="","",COUNTIFS('📥 Data Source'!$B$5:$B$38201,A28,'📥 Data Source'!$E$5:$E$38201,"Porteur"))</f>
        <v>0</v>
      </c>
      <c r="F28" s="7">
        <f>IF(A28="","",COUNTIFS('📥 Data Source'!$B$5:$B$38201,A28,'📥 Data Source'!$E$5:$E$38201,"Non porteur"))</f>
        <v>0</v>
      </c>
    </row>
    <row r="29" spans="1:6" ht="20" customHeight="1">
      <c r="A29" s="13">
        <f t="array" ref="A29">IFERROR(INDEX('📥 Data Source'!$B$5:$B$38201,MATCH(0,COUNTIF($A$9:A28,'📥 Data Source'!$B$5:$B$38201)+IF('📥 Data Source'!$B$5:$B$38201="",1,0),0)),"")</f>
        <v>0</v>
      </c>
      <c r="B29" s="14">
        <f>IFERROR(IF(A29="","",INDEX('📥 Data Source'!$C$5:$C$38201,MATCH(A29,'📥 Data Source'!$B$5:$B$38201,0))),"")</f>
        <v>0</v>
      </c>
      <c r="C29" s="12">
        <f>IF(A29="","",SUMIF('📥 Data Source'!$B$5:$B$38201,A29,'📥 Data Source'!$F$5:$F$38201))</f>
        <v>0</v>
      </c>
      <c r="D29" s="16">
        <f>IF(A29="","",SUMIF('📥 Data Source'!$B$5:$B$38201,A29,'📥 Data Source'!$G$5:$G$38201))</f>
        <v>0</v>
      </c>
      <c r="E29" s="12">
        <f>IF(A29="","",COUNTIFS('📥 Data Source'!$B$5:$B$38201,A29,'📥 Data Source'!$E$5:$E$38201,"Porteur"))</f>
        <v>0</v>
      </c>
      <c r="F29" s="12">
        <f>IF(A29="","",COUNTIFS('📥 Data Source'!$B$5:$B$38201,A29,'📥 Data Source'!$E$5:$E$38201,"Non porteur"))</f>
        <v>0</v>
      </c>
    </row>
    <row r="30" spans="1:6" ht="20" customHeight="1">
      <c r="A30" s="8">
        <f t="array" ref="A30">IFERROR(INDEX('📥 Data Source'!$B$5:$B$38201,MATCH(0,COUNTIF($A$9:A29,'📥 Data Source'!$B$5:$B$38201)+IF('📥 Data Source'!$B$5:$B$38201="",1,0),0)),"")</f>
        <v>0</v>
      </c>
      <c r="B30" s="9">
        <f>IFERROR(IF(A30="","",INDEX('📥 Data Source'!$C$5:$C$38201,MATCH(A30,'📥 Data Source'!$B$5:$B$38201,0))),"")</f>
        <v>0</v>
      </c>
      <c r="C30" s="7">
        <f>IF(A30="","",SUMIF('📥 Data Source'!$B$5:$B$38201,A30,'📥 Data Source'!$F$5:$F$38201))</f>
        <v>0</v>
      </c>
      <c r="D30" s="11">
        <f>IF(A30="","",SUMIF('📥 Data Source'!$B$5:$B$38201,A30,'📥 Data Source'!$G$5:$G$38201))</f>
        <v>0</v>
      </c>
      <c r="E30" s="7">
        <f>IF(A30="","",COUNTIFS('📥 Data Source'!$B$5:$B$38201,A30,'📥 Data Source'!$E$5:$E$38201,"Porteur"))</f>
        <v>0</v>
      </c>
      <c r="F30" s="7">
        <f>IF(A30="","",COUNTIFS('📥 Data Source'!$B$5:$B$38201,A30,'📥 Data Source'!$E$5:$E$38201,"Non porteur"))</f>
        <v>0</v>
      </c>
    </row>
    <row r="31" spans="1:6" ht="20" customHeight="1">
      <c r="A31" s="13">
        <f t="array" ref="A31">IFERROR(INDEX('📥 Data Source'!$B$5:$B$38201,MATCH(0,COUNTIF($A$9:A30,'📥 Data Source'!$B$5:$B$38201)+IF('📥 Data Source'!$B$5:$B$38201="",1,0),0)),"")</f>
        <v>0</v>
      </c>
      <c r="B31" s="14">
        <f>IFERROR(IF(A31="","",INDEX('📥 Data Source'!$C$5:$C$38201,MATCH(A31,'📥 Data Source'!$B$5:$B$38201,0))),"")</f>
        <v>0</v>
      </c>
      <c r="C31" s="12">
        <f>IF(A31="","",SUMIF('📥 Data Source'!$B$5:$B$38201,A31,'📥 Data Source'!$F$5:$F$38201))</f>
        <v>0</v>
      </c>
      <c r="D31" s="16">
        <f>IF(A31="","",SUMIF('📥 Data Source'!$B$5:$B$38201,A31,'📥 Data Source'!$G$5:$G$38201))</f>
        <v>0</v>
      </c>
      <c r="E31" s="12">
        <f>IF(A31="","",COUNTIFS('📥 Data Source'!$B$5:$B$38201,A31,'📥 Data Source'!$E$5:$E$38201,"Porteur"))</f>
        <v>0</v>
      </c>
      <c r="F31" s="12">
        <f>IF(A31="","",COUNTIFS('📥 Data Source'!$B$5:$B$38201,A31,'📥 Data Source'!$E$5:$E$38201,"Non porteur"))</f>
        <v>0</v>
      </c>
    </row>
    <row r="32" spans="1:6" ht="20" customHeight="1">
      <c r="A32" s="8">
        <f t="array" ref="A32">IFERROR(INDEX('📥 Data Source'!$B$5:$B$38201,MATCH(0,COUNTIF($A$9:A31,'📥 Data Source'!$B$5:$B$38201)+IF('📥 Data Source'!$B$5:$B$38201="",1,0),0)),"")</f>
        <v>0</v>
      </c>
      <c r="B32" s="9">
        <f>IFERROR(IF(A32="","",INDEX('📥 Data Source'!$C$5:$C$38201,MATCH(A32,'📥 Data Source'!$B$5:$B$38201,0))),"")</f>
        <v>0</v>
      </c>
      <c r="C32" s="7">
        <f>IF(A32="","",SUMIF('📥 Data Source'!$B$5:$B$38201,A32,'📥 Data Source'!$F$5:$F$38201))</f>
        <v>0</v>
      </c>
      <c r="D32" s="11">
        <f>IF(A32="","",SUMIF('📥 Data Source'!$B$5:$B$38201,A32,'📥 Data Source'!$G$5:$G$38201))</f>
        <v>0</v>
      </c>
      <c r="E32" s="7">
        <f>IF(A32="","",COUNTIFS('📥 Data Source'!$B$5:$B$38201,A32,'📥 Data Source'!$E$5:$E$38201,"Porteur"))</f>
        <v>0</v>
      </c>
      <c r="F32" s="7">
        <f>IF(A32="","",COUNTIFS('📥 Data Source'!$B$5:$B$38201,A32,'📥 Data Source'!$E$5:$E$38201,"Non porteur"))</f>
        <v>0</v>
      </c>
    </row>
    <row r="33" spans="1:6" ht="20" customHeight="1">
      <c r="A33" s="13">
        <f t="array" ref="A33">IFERROR(INDEX('📥 Data Source'!$B$5:$B$38201,MATCH(0,COUNTIF($A$9:A32,'📥 Data Source'!$B$5:$B$38201)+IF('📥 Data Source'!$B$5:$B$38201="",1,0),0)),"")</f>
        <v>0</v>
      </c>
      <c r="B33" s="14">
        <f>IFERROR(IF(A33="","",INDEX('📥 Data Source'!$C$5:$C$38201,MATCH(A33,'📥 Data Source'!$B$5:$B$38201,0))),"")</f>
        <v>0</v>
      </c>
      <c r="C33" s="12">
        <f>IF(A33="","",SUMIF('📥 Data Source'!$B$5:$B$38201,A33,'📥 Data Source'!$F$5:$F$38201))</f>
        <v>0</v>
      </c>
      <c r="D33" s="16">
        <f>IF(A33="","",SUMIF('📥 Data Source'!$B$5:$B$38201,A33,'📥 Data Source'!$G$5:$G$38201))</f>
        <v>0</v>
      </c>
      <c r="E33" s="12">
        <f>IF(A33="","",COUNTIFS('📥 Data Source'!$B$5:$B$38201,A33,'📥 Data Source'!$E$5:$E$38201,"Porteur"))</f>
        <v>0</v>
      </c>
      <c r="F33" s="12">
        <f>IF(A33="","",COUNTIFS('📥 Data Source'!$B$5:$B$38201,A33,'📥 Data Source'!$E$5:$E$38201,"Non porteur"))</f>
        <v>0</v>
      </c>
    </row>
    <row r="34" spans="1:6" ht="20" customHeight="1">
      <c r="A34" s="8">
        <f t="array" ref="A34">IFERROR(INDEX('📥 Data Source'!$B$5:$B$38201,MATCH(0,COUNTIF($A$9:A33,'📥 Data Source'!$B$5:$B$38201)+IF('📥 Data Source'!$B$5:$B$38201="",1,0),0)),"")</f>
        <v>0</v>
      </c>
      <c r="B34" s="9">
        <f>IFERROR(IF(A34="","",INDEX('📥 Data Source'!$C$5:$C$38201,MATCH(A34,'📥 Data Source'!$B$5:$B$38201,0))),"")</f>
        <v>0</v>
      </c>
      <c r="C34" s="7">
        <f>IF(A34="","",SUMIF('📥 Data Source'!$B$5:$B$38201,A34,'📥 Data Source'!$F$5:$F$38201))</f>
        <v>0</v>
      </c>
      <c r="D34" s="11">
        <f>IF(A34="","",SUMIF('📥 Data Source'!$B$5:$B$38201,A34,'📥 Data Source'!$G$5:$G$38201))</f>
        <v>0</v>
      </c>
      <c r="E34" s="7">
        <f>IF(A34="","",COUNTIFS('📥 Data Source'!$B$5:$B$38201,A34,'📥 Data Source'!$E$5:$E$38201,"Porteur"))</f>
        <v>0</v>
      </c>
      <c r="F34" s="7">
        <f>IF(A34="","",COUNTIFS('📥 Data Source'!$B$5:$B$38201,A34,'📥 Data Source'!$E$5:$E$38201,"Non porteur"))</f>
        <v>0</v>
      </c>
    </row>
    <row r="35" spans="1:6" ht="20" customHeight="1">
      <c r="A35" s="13">
        <f t="array" ref="A35">IFERROR(INDEX('📥 Data Source'!$B$5:$B$38201,MATCH(0,COUNTIF($A$9:A34,'📥 Data Source'!$B$5:$B$38201)+IF('📥 Data Source'!$B$5:$B$38201="",1,0),0)),"")</f>
        <v>0</v>
      </c>
      <c r="B35" s="14">
        <f>IFERROR(IF(A35="","",INDEX('📥 Data Source'!$C$5:$C$38201,MATCH(A35,'📥 Data Source'!$B$5:$B$38201,0))),"")</f>
        <v>0</v>
      </c>
      <c r="C35" s="12">
        <f>IF(A35="","",SUMIF('📥 Data Source'!$B$5:$B$38201,A35,'📥 Data Source'!$F$5:$F$38201))</f>
        <v>0</v>
      </c>
      <c r="D35" s="16">
        <f>IF(A35="","",SUMIF('📥 Data Source'!$B$5:$B$38201,A35,'📥 Data Source'!$G$5:$G$38201))</f>
        <v>0</v>
      </c>
      <c r="E35" s="12">
        <f>IF(A35="","",COUNTIFS('📥 Data Source'!$B$5:$B$38201,A35,'📥 Data Source'!$E$5:$E$38201,"Porteur"))</f>
        <v>0</v>
      </c>
      <c r="F35" s="12">
        <f>IF(A35="","",COUNTIFS('📥 Data Source'!$B$5:$B$38201,A35,'📥 Data Source'!$E$5:$E$38201,"Non porteur"))</f>
        <v>0</v>
      </c>
    </row>
    <row r="36" spans="1:6" ht="20" customHeight="1">
      <c r="A36" s="8">
        <f t="array" ref="A36">IFERROR(INDEX('📥 Data Source'!$B$5:$B$38201,MATCH(0,COUNTIF($A$9:A35,'📥 Data Source'!$B$5:$B$38201)+IF('📥 Data Source'!$B$5:$B$38201="",1,0),0)),"")</f>
        <v>0</v>
      </c>
      <c r="B36" s="9">
        <f>IFERROR(IF(A36="","",INDEX('📥 Data Source'!$C$5:$C$38201,MATCH(A36,'📥 Data Source'!$B$5:$B$38201,0))),"")</f>
        <v>0</v>
      </c>
      <c r="C36" s="7">
        <f>IF(A36="","",SUMIF('📥 Data Source'!$B$5:$B$38201,A36,'📥 Data Source'!$F$5:$F$38201))</f>
        <v>0</v>
      </c>
      <c r="D36" s="11">
        <f>IF(A36="","",SUMIF('📥 Data Source'!$B$5:$B$38201,A36,'📥 Data Source'!$G$5:$G$38201))</f>
        <v>0</v>
      </c>
      <c r="E36" s="7">
        <f>IF(A36="","",COUNTIFS('📥 Data Source'!$B$5:$B$38201,A36,'📥 Data Source'!$E$5:$E$38201,"Porteur"))</f>
        <v>0</v>
      </c>
      <c r="F36" s="7">
        <f>IF(A36="","",COUNTIFS('📥 Data Source'!$B$5:$B$38201,A36,'📥 Data Source'!$E$5:$E$38201,"Non porteur"))</f>
        <v>0</v>
      </c>
    </row>
    <row r="37" spans="1:6" ht="20" customHeight="1">
      <c r="A37" s="13">
        <f t="array" ref="A37">IFERROR(INDEX('📥 Data Source'!$B$5:$B$38201,MATCH(0,COUNTIF($A$9:A36,'📥 Data Source'!$B$5:$B$38201)+IF('📥 Data Source'!$B$5:$B$38201="",1,0),0)),"")</f>
        <v>0</v>
      </c>
      <c r="B37" s="14">
        <f>IFERROR(IF(A37="","",INDEX('📥 Data Source'!$C$5:$C$38201,MATCH(A37,'📥 Data Source'!$B$5:$B$38201,0))),"")</f>
        <v>0</v>
      </c>
      <c r="C37" s="12">
        <f>IF(A37="","",SUMIF('📥 Data Source'!$B$5:$B$38201,A37,'📥 Data Source'!$F$5:$F$38201))</f>
        <v>0</v>
      </c>
      <c r="D37" s="16">
        <f>IF(A37="","",SUMIF('📥 Data Source'!$B$5:$B$38201,A37,'📥 Data Source'!$G$5:$G$38201))</f>
        <v>0</v>
      </c>
      <c r="E37" s="12">
        <f>IF(A37="","",COUNTIFS('📥 Data Source'!$B$5:$B$38201,A37,'📥 Data Source'!$E$5:$E$38201,"Porteur"))</f>
        <v>0</v>
      </c>
      <c r="F37" s="12">
        <f>IF(A37="","",COUNTIFS('📥 Data Source'!$B$5:$B$38201,A37,'📥 Data Source'!$E$5:$E$38201,"Non porteur"))</f>
        <v>0</v>
      </c>
    </row>
    <row r="38" spans="1:6" ht="20" customHeight="1">
      <c r="A38" s="8">
        <f t="array" ref="A38">IFERROR(INDEX('📥 Data Source'!$B$5:$B$38201,MATCH(0,COUNTIF($A$9:A37,'📥 Data Source'!$B$5:$B$38201)+IF('📥 Data Source'!$B$5:$B$38201="",1,0),0)),"")</f>
        <v>0</v>
      </c>
      <c r="B38" s="9">
        <f>IFERROR(IF(A38="","",INDEX('📥 Data Source'!$C$5:$C$38201,MATCH(A38,'📥 Data Source'!$B$5:$B$38201,0))),"")</f>
        <v>0</v>
      </c>
      <c r="C38" s="7">
        <f>IF(A38="","",SUMIF('📥 Data Source'!$B$5:$B$38201,A38,'📥 Data Source'!$F$5:$F$38201))</f>
        <v>0</v>
      </c>
      <c r="D38" s="11">
        <f>IF(A38="","",SUMIF('📥 Data Source'!$B$5:$B$38201,A38,'📥 Data Source'!$G$5:$G$38201))</f>
        <v>0</v>
      </c>
      <c r="E38" s="7">
        <f>IF(A38="","",COUNTIFS('📥 Data Source'!$B$5:$B$38201,A38,'📥 Data Source'!$E$5:$E$38201,"Porteur"))</f>
        <v>0</v>
      </c>
      <c r="F38" s="7">
        <f>IF(A38="","",COUNTIFS('📥 Data Source'!$B$5:$B$38201,A38,'📥 Data Source'!$E$5:$E$38201,"Non porteur"))</f>
        <v>0</v>
      </c>
    </row>
    <row r="39" spans="1:6" ht="20" customHeight="1">
      <c r="A39" s="13">
        <f t="array" ref="A39">IFERROR(INDEX('📥 Data Source'!$B$5:$B$38201,MATCH(0,COUNTIF($A$9:A38,'📥 Data Source'!$B$5:$B$38201)+IF('📥 Data Source'!$B$5:$B$38201="",1,0),0)),"")</f>
        <v>0</v>
      </c>
      <c r="B39" s="14">
        <f>IFERROR(IF(A39="","",INDEX('📥 Data Source'!$C$5:$C$38201,MATCH(A39,'📥 Data Source'!$B$5:$B$38201,0))),"")</f>
        <v>0</v>
      </c>
      <c r="C39" s="12">
        <f>IF(A39="","",SUMIF('📥 Data Source'!$B$5:$B$38201,A39,'📥 Data Source'!$F$5:$F$38201))</f>
        <v>0</v>
      </c>
      <c r="D39" s="16">
        <f>IF(A39="","",SUMIF('📥 Data Source'!$B$5:$B$38201,A39,'📥 Data Source'!$G$5:$G$38201))</f>
        <v>0</v>
      </c>
      <c r="E39" s="12">
        <f>IF(A39="","",COUNTIFS('📥 Data Source'!$B$5:$B$38201,A39,'📥 Data Source'!$E$5:$E$38201,"Porteur"))</f>
        <v>0</v>
      </c>
      <c r="F39" s="12">
        <f>IF(A39="","",COUNTIFS('📥 Data Source'!$B$5:$B$38201,A39,'📥 Data Source'!$E$5:$E$38201,"Non porteur"))</f>
        <v>0</v>
      </c>
    </row>
    <row r="40" spans="1:6" ht="20" customHeight="1">
      <c r="A40" s="8">
        <f t="array" ref="A40">IFERROR(INDEX('📥 Data Source'!$B$5:$B$38201,MATCH(0,COUNTIF($A$9:A39,'📥 Data Source'!$B$5:$B$38201)+IF('📥 Data Source'!$B$5:$B$38201="",1,0),0)),"")</f>
        <v>0</v>
      </c>
      <c r="B40" s="9">
        <f>IFERROR(IF(A40="","",INDEX('📥 Data Source'!$C$5:$C$38201,MATCH(A40,'📥 Data Source'!$B$5:$B$38201,0))),"")</f>
        <v>0</v>
      </c>
      <c r="C40" s="7">
        <f>IF(A40="","",SUMIF('📥 Data Source'!$B$5:$B$38201,A40,'📥 Data Source'!$F$5:$F$38201))</f>
        <v>0</v>
      </c>
      <c r="D40" s="11">
        <f>IF(A40="","",SUMIF('📥 Data Source'!$B$5:$B$38201,A40,'📥 Data Source'!$G$5:$G$38201))</f>
        <v>0</v>
      </c>
      <c r="E40" s="7">
        <f>IF(A40="","",COUNTIFS('📥 Data Source'!$B$5:$B$38201,A40,'📥 Data Source'!$E$5:$E$38201,"Porteur"))</f>
        <v>0</v>
      </c>
      <c r="F40" s="7">
        <f>IF(A40="","",COUNTIFS('📥 Data Source'!$B$5:$B$38201,A40,'📥 Data Source'!$E$5:$E$38201,"Non porteur"))</f>
        <v>0</v>
      </c>
    </row>
    <row r="41" spans="1:6" ht="20" customHeight="1">
      <c r="A41" s="13">
        <f t="array" ref="A41">IFERROR(INDEX('📥 Data Source'!$B$5:$B$38201,MATCH(0,COUNTIF($A$9:A40,'📥 Data Source'!$B$5:$B$38201)+IF('📥 Data Source'!$B$5:$B$38201="",1,0),0)),"")</f>
        <v>0</v>
      </c>
      <c r="B41" s="14">
        <f>IFERROR(IF(A41="","",INDEX('📥 Data Source'!$C$5:$C$38201,MATCH(A41,'📥 Data Source'!$B$5:$B$38201,0))),"")</f>
        <v>0</v>
      </c>
      <c r="C41" s="12">
        <f>IF(A41="","",SUMIF('📥 Data Source'!$B$5:$B$38201,A41,'📥 Data Source'!$F$5:$F$38201))</f>
        <v>0</v>
      </c>
      <c r="D41" s="16">
        <f>IF(A41="","",SUMIF('📥 Data Source'!$B$5:$B$38201,A41,'📥 Data Source'!$G$5:$G$38201))</f>
        <v>0</v>
      </c>
      <c r="E41" s="12">
        <f>IF(A41="","",COUNTIFS('📥 Data Source'!$B$5:$B$38201,A41,'📥 Data Source'!$E$5:$E$38201,"Porteur"))</f>
        <v>0</v>
      </c>
      <c r="F41" s="12">
        <f>IF(A41="","",COUNTIFS('📥 Data Source'!$B$5:$B$38201,A41,'📥 Data Source'!$E$5:$E$38201,"Non porteur"))</f>
        <v>0</v>
      </c>
    </row>
    <row r="42" spans="1:6" ht="20" customHeight="1">
      <c r="A42" s="8">
        <f t="array" ref="A42">IFERROR(INDEX('📥 Data Source'!$B$5:$B$38201,MATCH(0,COUNTIF($A$9:A41,'📥 Data Source'!$B$5:$B$38201)+IF('📥 Data Source'!$B$5:$B$38201="",1,0),0)),"")</f>
        <v>0</v>
      </c>
      <c r="B42" s="9">
        <f>IFERROR(IF(A42="","",INDEX('📥 Data Source'!$C$5:$C$38201,MATCH(A42,'📥 Data Source'!$B$5:$B$38201,0))),"")</f>
        <v>0</v>
      </c>
      <c r="C42" s="7">
        <f>IF(A42="","",SUMIF('📥 Data Source'!$B$5:$B$38201,A42,'📥 Data Source'!$F$5:$F$38201))</f>
        <v>0</v>
      </c>
      <c r="D42" s="11">
        <f>IF(A42="","",SUMIF('📥 Data Source'!$B$5:$B$38201,A42,'📥 Data Source'!$G$5:$G$38201))</f>
        <v>0</v>
      </c>
      <c r="E42" s="7">
        <f>IF(A42="","",COUNTIFS('📥 Data Source'!$B$5:$B$38201,A42,'📥 Data Source'!$E$5:$E$38201,"Porteur"))</f>
        <v>0</v>
      </c>
      <c r="F42" s="7">
        <f>IF(A42="","",COUNTIFS('📥 Data Source'!$B$5:$B$38201,A42,'📥 Data Source'!$E$5:$E$38201,"Non porteur"))</f>
        <v>0</v>
      </c>
    </row>
    <row r="43" spans="1:6" ht="20" customHeight="1">
      <c r="A43" s="13">
        <f t="array" ref="A43">IFERROR(INDEX('📥 Data Source'!$B$5:$B$38201,MATCH(0,COUNTIF($A$9:A42,'📥 Data Source'!$B$5:$B$38201)+IF('📥 Data Source'!$B$5:$B$38201="",1,0),0)),"")</f>
        <v>0</v>
      </c>
      <c r="B43" s="14">
        <f>IFERROR(IF(A43="","",INDEX('📥 Data Source'!$C$5:$C$38201,MATCH(A43,'📥 Data Source'!$B$5:$B$38201,0))),"")</f>
        <v>0</v>
      </c>
      <c r="C43" s="12">
        <f>IF(A43="","",SUMIF('📥 Data Source'!$B$5:$B$38201,A43,'📥 Data Source'!$F$5:$F$38201))</f>
        <v>0</v>
      </c>
      <c r="D43" s="16">
        <f>IF(A43="","",SUMIF('📥 Data Source'!$B$5:$B$38201,A43,'📥 Data Source'!$G$5:$G$38201))</f>
        <v>0</v>
      </c>
      <c r="E43" s="12">
        <f>IF(A43="","",COUNTIFS('📥 Data Source'!$B$5:$B$38201,A43,'📥 Data Source'!$E$5:$E$38201,"Porteur"))</f>
        <v>0</v>
      </c>
      <c r="F43" s="12">
        <f>IF(A43="","",COUNTIFS('📥 Data Source'!$B$5:$B$38201,A43,'📥 Data Source'!$E$5:$E$38201,"Non porteur"))</f>
        <v>0</v>
      </c>
    </row>
    <row r="44" spans="1:6" ht="20" customHeight="1">
      <c r="A44" s="8">
        <f t="array" ref="A44">IFERROR(INDEX('📥 Data Source'!$B$5:$B$38201,MATCH(0,COUNTIF($A$9:A43,'📥 Data Source'!$B$5:$B$38201)+IF('📥 Data Source'!$B$5:$B$38201="",1,0),0)),"")</f>
        <v>0</v>
      </c>
      <c r="B44" s="9">
        <f>IFERROR(IF(A44="","",INDEX('📥 Data Source'!$C$5:$C$38201,MATCH(A44,'📥 Data Source'!$B$5:$B$38201,0))),"")</f>
        <v>0</v>
      </c>
      <c r="C44" s="7">
        <f>IF(A44="","",SUMIF('📥 Data Source'!$B$5:$B$38201,A44,'📥 Data Source'!$F$5:$F$38201))</f>
        <v>0</v>
      </c>
      <c r="D44" s="11">
        <f>IF(A44="","",SUMIF('📥 Data Source'!$B$5:$B$38201,A44,'📥 Data Source'!$G$5:$G$38201))</f>
        <v>0</v>
      </c>
      <c r="E44" s="7">
        <f>IF(A44="","",COUNTIFS('📥 Data Source'!$B$5:$B$38201,A44,'📥 Data Source'!$E$5:$E$38201,"Porteur"))</f>
        <v>0</v>
      </c>
      <c r="F44" s="7">
        <f>IF(A44="","",COUNTIFS('📥 Data Source'!$B$5:$B$38201,A44,'📥 Data Source'!$E$5:$E$38201,"Non porteur"))</f>
        <v>0</v>
      </c>
    </row>
    <row r="45" spans="1:6" ht="20" customHeight="1">
      <c r="A45" s="13">
        <f t="array" ref="A45">IFERROR(INDEX('📥 Data Source'!$B$5:$B$38201,MATCH(0,COUNTIF($A$9:A44,'📥 Data Source'!$B$5:$B$38201)+IF('📥 Data Source'!$B$5:$B$38201="",1,0),0)),"")</f>
        <v>0</v>
      </c>
      <c r="B45" s="14">
        <f>IFERROR(IF(A45="","",INDEX('📥 Data Source'!$C$5:$C$38201,MATCH(A45,'📥 Data Source'!$B$5:$B$38201,0))),"")</f>
        <v>0</v>
      </c>
      <c r="C45" s="12">
        <f>IF(A45="","",SUMIF('📥 Data Source'!$B$5:$B$38201,A45,'📥 Data Source'!$F$5:$F$38201))</f>
        <v>0</v>
      </c>
      <c r="D45" s="16">
        <f>IF(A45="","",SUMIF('📥 Data Source'!$B$5:$B$38201,A45,'📥 Data Source'!$G$5:$G$38201))</f>
        <v>0</v>
      </c>
      <c r="E45" s="12">
        <f>IF(A45="","",COUNTIFS('📥 Data Source'!$B$5:$B$38201,A45,'📥 Data Source'!$E$5:$E$38201,"Porteur"))</f>
        <v>0</v>
      </c>
      <c r="F45" s="12">
        <f>IF(A45="","",COUNTIFS('📥 Data Source'!$B$5:$B$38201,A45,'📥 Data Source'!$E$5:$E$38201,"Non porteur"))</f>
        <v>0</v>
      </c>
    </row>
    <row r="46" spans="1:6" ht="20" customHeight="1">
      <c r="A46" s="8">
        <f t="array" ref="A46">IFERROR(INDEX('📥 Data Source'!$B$5:$B$38201,MATCH(0,COUNTIF($A$9:A45,'📥 Data Source'!$B$5:$B$38201)+IF('📥 Data Source'!$B$5:$B$38201="",1,0),0)),"")</f>
        <v>0</v>
      </c>
      <c r="B46" s="9">
        <f>IFERROR(IF(A46="","",INDEX('📥 Data Source'!$C$5:$C$38201,MATCH(A46,'📥 Data Source'!$B$5:$B$38201,0))),"")</f>
        <v>0</v>
      </c>
      <c r="C46" s="7">
        <f>IF(A46="","",SUMIF('📥 Data Source'!$B$5:$B$38201,A46,'📥 Data Source'!$F$5:$F$38201))</f>
        <v>0</v>
      </c>
      <c r="D46" s="11">
        <f>IF(A46="","",SUMIF('📥 Data Source'!$B$5:$B$38201,A46,'📥 Data Source'!$G$5:$G$38201))</f>
        <v>0</v>
      </c>
      <c r="E46" s="7">
        <f>IF(A46="","",COUNTIFS('📥 Data Source'!$B$5:$B$38201,A46,'📥 Data Source'!$E$5:$E$38201,"Porteur"))</f>
        <v>0</v>
      </c>
      <c r="F46" s="7">
        <f>IF(A46="","",COUNTIFS('📥 Data Source'!$B$5:$B$38201,A46,'📥 Data Source'!$E$5:$E$38201,"Non porteur"))</f>
        <v>0</v>
      </c>
    </row>
    <row r="47" spans="1:6" ht="20" customHeight="1">
      <c r="A47" s="13">
        <f t="array" ref="A47">IFERROR(INDEX('📥 Data Source'!$B$5:$B$38201,MATCH(0,COUNTIF($A$9:A46,'📥 Data Source'!$B$5:$B$38201)+IF('📥 Data Source'!$B$5:$B$38201="",1,0),0)),"")</f>
        <v>0</v>
      </c>
      <c r="B47" s="14">
        <f>IFERROR(IF(A47="","",INDEX('📥 Data Source'!$C$5:$C$38201,MATCH(A47,'📥 Data Source'!$B$5:$B$38201,0))),"")</f>
        <v>0</v>
      </c>
      <c r="C47" s="12">
        <f>IF(A47="","",SUMIF('📥 Data Source'!$B$5:$B$38201,A47,'📥 Data Source'!$F$5:$F$38201))</f>
        <v>0</v>
      </c>
      <c r="D47" s="16">
        <f>IF(A47="","",SUMIF('📥 Data Source'!$B$5:$B$38201,A47,'📥 Data Source'!$G$5:$G$38201))</f>
        <v>0</v>
      </c>
      <c r="E47" s="12">
        <f>IF(A47="","",COUNTIFS('📥 Data Source'!$B$5:$B$38201,A47,'📥 Data Source'!$E$5:$E$38201,"Porteur"))</f>
        <v>0</v>
      </c>
      <c r="F47" s="12">
        <f>IF(A47="","",COUNTIFS('📥 Data Source'!$B$5:$B$38201,A47,'📥 Data Source'!$E$5:$E$38201,"Non porteur"))</f>
        <v>0</v>
      </c>
    </row>
    <row r="48" spans="1:6" ht="20" customHeight="1">
      <c r="A48" s="8">
        <f t="array" ref="A48">IFERROR(INDEX('📥 Data Source'!$B$5:$B$38201,MATCH(0,COUNTIF($A$9:A47,'📥 Data Source'!$B$5:$B$38201)+IF('📥 Data Source'!$B$5:$B$38201="",1,0),0)),"")</f>
        <v>0</v>
      </c>
      <c r="B48" s="9">
        <f>IFERROR(IF(A48="","",INDEX('📥 Data Source'!$C$5:$C$38201,MATCH(A48,'📥 Data Source'!$B$5:$B$38201,0))),"")</f>
        <v>0</v>
      </c>
      <c r="C48" s="7">
        <f>IF(A48="","",SUMIF('📥 Data Source'!$B$5:$B$38201,A48,'📥 Data Source'!$F$5:$F$38201))</f>
        <v>0</v>
      </c>
      <c r="D48" s="11">
        <f>IF(A48="","",SUMIF('📥 Data Source'!$B$5:$B$38201,A48,'📥 Data Source'!$G$5:$G$38201))</f>
        <v>0</v>
      </c>
      <c r="E48" s="7">
        <f>IF(A48="","",COUNTIFS('📥 Data Source'!$B$5:$B$38201,A48,'📥 Data Source'!$E$5:$E$38201,"Porteur"))</f>
        <v>0</v>
      </c>
      <c r="F48" s="7">
        <f>IF(A48="","",COUNTIFS('📥 Data Source'!$B$5:$B$38201,A48,'📥 Data Source'!$E$5:$E$38201,"Non porteur"))</f>
        <v>0</v>
      </c>
    </row>
    <row r="49" spans="1:6" ht="20" customHeight="1">
      <c r="A49" s="13">
        <f t="array" ref="A49">IFERROR(INDEX('📥 Data Source'!$B$5:$B$38201,MATCH(0,COUNTIF($A$9:A48,'📥 Data Source'!$B$5:$B$38201)+IF('📥 Data Source'!$B$5:$B$38201="",1,0),0)),"")</f>
        <v>0</v>
      </c>
      <c r="B49" s="14">
        <f>IFERROR(IF(A49="","",INDEX('📥 Data Source'!$C$5:$C$38201,MATCH(A49,'📥 Data Source'!$B$5:$B$38201,0))),"")</f>
        <v>0</v>
      </c>
      <c r="C49" s="12">
        <f>IF(A49="","",SUMIF('📥 Data Source'!$B$5:$B$38201,A49,'📥 Data Source'!$F$5:$F$38201))</f>
        <v>0</v>
      </c>
      <c r="D49" s="16">
        <f>IF(A49="","",SUMIF('📥 Data Source'!$B$5:$B$38201,A49,'📥 Data Source'!$G$5:$G$38201))</f>
        <v>0</v>
      </c>
      <c r="E49" s="12">
        <f>IF(A49="","",COUNTIFS('📥 Data Source'!$B$5:$B$38201,A49,'📥 Data Source'!$E$5:$E$38201,"Porteur"))</f>
        <v>0</v>
      </c>
      <c r="F49" s="12">
        <f>IF(A49="","",COUNTIFS('📥 Data Source'!$B$5:$B$38201,A49,'📥 Data Source'!$E$5:$E$38201,"Non porteur"))</f>
        <v>0</v>
      </c>
    </row>
    <row r="50" spans="1:6" ht="20" customHeight="1">
      <c r="A50" s="8">
        <f t="array" ref="A50">IFERROR(INDEX('📥 Data Source'!$B$5:$B$38201,MATCH(0,COUNTIF($A$9:A49,'📥 Data Source'!$B$5:$B$38201)+IF('📥 Data Source'!$B$5:$B$38201="",1,0),0)),"")</f>
        <v>0</v>
      </c>
      <c r="B50" s="9">
        <f>IFERROR(IF(A50="","",INDEX('📥 Data Source'!$C$5:$C$38201,MATCH(A50,'📥 Data Source'!$B$5:$B$38201,0))),"")</f>
        <v>0</v>
      </c>
      <c r="C50" s="7">
        <f>IF(A50="","",SUMIF('📥 Data Source'!$B$5:$B$38201,A50,'📥 Data Source'!$F$5:$F$38201))</f>
        <v>0</v>
      </c>
      <c r="D50" s="11">
        <f>IF(A50="","",SUMIF('📥 Data Source'!$B$5:$B$38201,A50,'📥 Data Source'!$G$5:$G$38201))</f>
        <v>0</v>
      </c>
      <c r="E50" s="7">
        <f>IF(A50="","",COUNTIFS('📥 Data Source'!$B$5:$B$38201,A50,'📥 Data Source'!$E$5:$E$38201,"Porteur"))</f>
        <v>0</v>
      </c>
      <c r="F50" s="7">
        <f>IF(A50="","",COUNTIFS('📥 Data Source'!$B$5:$B$38201,A50,'📥 Data Source'!$E$5:$E$38201,"Non porteur"))</f>
        <v>0</v>
      </c>
    </row>
    <row r="51" spans="1:6" ht="20" customHeight="1">
      <c r="A51" s="13">
        <f t="array" ref="A51">IFERROR(INDEX('📥 Data Source'!$B$5:$B$38201,MATCH(0,COUNTIF($A$9:A50,'📥 Data Source'!$B$5:$B$38201)+IF('📥 Data Source'!$B$5:$B$38201="",1,0),0)),"")</f>
        <v>0</v>
      </c>
      <c r="B51" s="14">
        <f>IFERROR(IF(A51="","",INDEX('📥 Data Source'!$C$5:$C$38201,MATCH(A51,'📥 Data Source'!$B$5:$B$38201,0))),"")</f>
        <v>0</v>
      </c>
      <c r="C51" s="12">
        <f>IF(A51="","",SUMIF('📥 Data Source'!$B$5:$B$38201,A51,'📥 Data Source'!$F$5:$F$38201))</f>
        <v>0</v>
      </c>
      <c r="D51" s="16">
        <f>IF(A51="","",SUMIF('📥 Data Source'!$B$5:$B$38201,A51,'📥 Data Source'!$G$5:$G$38201))</f>
        <v>0</v>
      </c>
      <c r="E51" s="12">
        <f>IF(A51="","",COUNTIFS('📥 Data Source'!$B$5:$B$38201,A51,'📥 Data Source'!$E$5:$E$38201,"Porteur"))</f>
        <v>0</v>
      </c>
      <c r="F51" s="12">
        <f>IF(A51="","",COUNTIFS('📥 Data Source'!$B$5:$B$38201,A51,'📥 Data Source'!$E$5:$E$38201,"Non porteur"))</f>
        <v>0</v>
      </c>
    </row>
    <row r="52" spans="1:6" ht="20" customHeight="1">
      <c r="A52" s="8">
        <f t="array" ref="A52">IFERROR(INDEX('📥 Data Source'!$B$5:$B$38201,MATCH(0,COUNTIF($A$9:A51,'📥 Data Source'!$B$5:$B$38201)+IF('📥 Data Source'!$B$5:$B$38201="",1,0),0)),"")</f>
        <v>0</v>
      </c>
      <c r="B52" s="9">
        <f>IFERROR(IF(A52="","",INDEX('📥 Data Source'!$C$5:$C$38201,MATCH(A52,'📥 Data Source'!$B$5:$B$38201,0))),"")</f>
        <v>0</v>
      </c>
      <c r="C52" s="7">
        <f>IF(A52="","",SUMIF('📥 Data Source'!$B$5:$B$38201,A52,'📥 Data Source'!$F$5:$F$38201))</f>
        <v>0</v>
      </c>
      <c r="D52" s="11">
        <f>IF(A52="","",SUMIF('📥 Data Source'!$B$5:$B$38201,A52,'📥 Data Source'!$G$5:$G$38201))</f>
        <v>0</v>
      </c>
      <c r="E52" s="7">
        <f>IF(A52="","",COUNTIFS('📥 Data Source'!$B$5:$B$38201,A52,'📥 Data Source'!$E$5:$E$38201,"Porteur"))</f>
        <v>0</v>
      </c>
      <c r="F52" s="7">
        <f>IF(A52="","",COUNTIFS('📥 Data Source'!$B$5:$B$38201,A52,'📥 Data Source'!$E$5:$E$38201,"Non porteur"))</f>
        <v>0</v>
      </c>
    </row>
    <row r="53" spans="1:6" ht="20" customHeight="1">
      <c r="A53" s="13">
        <f t="array" ref="A53">IFERROR(INDEX('📥 Data Source'!$B$5:$B$38201,MATCH(0,COUNTIF($A$9:A52,'📥 Data Source'!$B$5:$B$38201)+IF('📥 Data Source'!$B$5:$B$38201="",1,0),0)),"")</f>
        <v>0</v>
      </c>
      <c r="B53" s="14">
        <f>IFERROR(IF(A53="","",INDEX('📥 Data Source'!$C$5:$C$38201,MATCH(A53,'📥 Data Source'!$B$5:$B$38201,0))),"")</f>
        <v>0</v>
      </c>
      <c r="C53" s="12">
        <f>IF(A53="","",SUMIF('📥 Data Source'!$B$5:$B$38201,A53,'📥 Data Source'!$F$5:$F$38201))</f>
        <v>0</v>
      </c>
      <c r="D53" s="16">
        <f>IF(A53="","",SUMIF('📥 Data Source'!$B$5:$B$38201,A53,'📥 Data Source'!$G$5:$G$38201))</f>
        <v>0</v>
      </c>
      <c r="E53" s="12">
        <f>IF(A53="","",COUNTIFS('📥 Data Source'!$B$5:$B$38201,A53,'📥 Data Source'!$E$5:$E$38201,"Porteur"))</f>
        <v>0</v>
      </c>
      <c r="F53" s="12">
        <f>IF(A53="","",COUNTIFS('📥 Data Source'!$B$5:$B$38201,A53,'📥 Data Source'!$E$5:$E$38201,"Non porteur"))</f>
        <v>0</v>
      </c>
    </row>
    <row r="54" spans="1:6" ht="20" customHeight="1">
      <c r="A54" s="8">
        <f t="array" ref="A54">IFERROR(INDEX('📥 Data Source'!$B$5:$B$38201,MATCH(0,COUNTIF($A$9:A53,'📥 Data Source'!$B$5:$B$38201)+IF('📥 Data Source'!$B$5:$B$38201="",1,0),0)),"")</f>
        <v>0</v>
      </c>
      <c r="B54" s="9">
        <f>IFERROR(IF(A54="","",INDEX('📥 Data Source'!$C$5:$C$38201,MATCH(A54,'📥 Data Source'!$B$5:$B$38201,0))),"")</f>
        <v>0</v>
      </c>
      <c r="C54" s="7">
        <f>IF(A54="","",SUMIF('📥 Data Source'!$B$5:$B$38201,A54,'📥 Data Source'!$F$5:$F$38201))</f>
        <v>0</v>
      </c>
      <c r="D54" s="11">
        <f>IF(A54="","",SUMIF('📥 Data Source'!$B$5:$B$38201,A54,'📥 Data Source'!$G$5:$G$38201))</f>
        <v>0</v>
      </c>
      <c r="E54" s="7">
        <f>IF(A54="","",COUNTIFS('📥 Data Source'!$B$5:$B$38201,A54,'📥 Data Source'!$E$5:$E$38201,"Porteur"))</f>
        <v>0</v>
      </c>
      <c r="F54" s="7">
        <f>IF(A54="","",COUNTIFS('📥 Data Source'!$B$5:$B$38201,A54,'📥 Data Source'!$E$5:$E$38201,"Non porteur"))</f>
        <v>0</v>
      </c>
    </row>
    <row r="55" spans="1:6" ht="20" customHeight="1">
      <c r="A55" s="13">
        <f t="array" ref="A55">IFERROR(INDEX('📥 Data Source'!$B$5:$B$38201,MATCH(0,COUNTIF($A$9:A54,'📥 Data Source'!$B$5:$B$38201)+IF('📥 Data Source'!$B$5:$B$38201="",1,0),0)),"")</f>
        <v>0</v>
      </c>
      <c r="B55" s="14">
        <f>IFERROR(IF(A55="","",INDEX('📥 Data Source'!$C$5:$C$38201,MATCH(A55,'📥 Data Source'!$B$5:$B$38201,0))),"")</f>
        <v>0</v>
      </c>
      <c r="C55" s="12">
        <f>IF(A55="","",SUMIF('📥 Data Source'!$B$5:$B$38201,A55,'📥 Data Source'!$F$5:$F$38201))</f>
        <v>0</v>
      </c>
      <c r="D55" s="16">
        <f>IF(A55="","",SUMIF('📥 Data Source'!$B$5:$B$38201,A55,'📥 Data Source'!$G$5:$G$38201))</f>
        <v>0</v>
      </c>
      <c r="E55" s="12">
        <f>IF(A55="","",COUNTIFS('📥 Data Source'!$B$5:$B$38201,A55,'📥 Data Source'!$E$5:$E$38201,"Porteur"))</f>
        <v>0</v>
      </c>
      <c r="F55" s="12">
        <f>IF(A55="","",COUNTIFS('📥 Data Source'!$B$5:$B$38201,A55,'📥 Data Source'!$E$5:$E$38201,"Non porteur"))</f>
        <v>0</v>
      </c>
    </row>
    <row r="56" spans="1:6" ht="20" customHeight="1">
      <c r="A56" s="8">
        <f t="array" ref="A56">IFERROR(INDEX('📥 Data Source'!$B$5:$B$38201,MATCH(0,COUNTIF($A$9:A55,'📥 Data Source'!$B$5:$B$38201)+IF('📥 Data Source'!$B$5:$B$38201="",1,0),0)),"")</f>
        <v>0</v>
      </c>
      <c r="B56" s="9">
        <f>IFERROR(IF(A56="","",INDEX('📥 Data Source'!$C$5:$C$38201,MATCH(A56,'📥 Data Source'!$B$5:$B$38201,0))),"")</f>
        <v>0</v>
      </c>
      <c r="C56" s="7">
        <f>IF(A56="","",SUMIF('📥 Data Source'!$B$5:$B$38201,A56,'📥 Data Source'!$F$5:$F$38201))</f>
        <v>0</v>
      </c>
      <c r="D56" s="11">
        <f>IF(A56="","",SUMIF('📥 Data Source'!$B$5:$B$38201,A56,'📥 Data Source'!$G$5:$G$38201))</f>
        <v>0</v>
      </c>
      <c r="E56" s="7">
        <f>IF(A56="","",COUNTIFS('📥 Data Source'!$B$5:$B$38201,A56,'📥 Data Source'!$E$5:$E$38201,"Porteur"))</f>
        <v>0</v>
      </c>
      <c r="F56" s="7">
        <f>IF(A56="","",COUNTIFS('📥 Data Source'!$B$5:$B$38201,A56,'📥 Data Source'!$E$5:$E$38201,"Non porteur"))</f>
        <v>0</v>
      </c>
    </row>
    <row r="57" spans="1:6" ht="20" customHeight="1">
      <c r="A57" s="13">
        <f t="array" ref="A57">IFERROR(INDEX('📥 Data Source'!$B$5:$B$38201,MATCH(0,COUNTIF($A$9:A56,'📥 Data Source'!$B$5:$B$38201)+IF('📥 Data Source'!$B$5:$B$38201="",1,0),0)),"")</f>
        <v>0</v>
      </c>
      <c r="B57" s="14">
        <f>IFERROR(IF(A57="","",INDEX('📥 Data Source'!$C$5:$C$38201,MATCH(A57,'📥 Data Source'!$B$5:$B$38201,0))),"")</f>
        <v>0</v>
      </c>
      <c r="C57" s="12">
        <f>IF(A57="","",SUMIF('📥 Data Source'!$B$5:$B$38201,A57,'📥 Data Source'!$F$5:$F$38201))</f>
        <v>0</v>
      </c>
      <c r="D57" s="16">
        <f>IF(A57="","",SUMIF('📥 Data Source'!$B$5:$B$38201,A57,'📥 Data Source'!$G$5:$G$38201))</f>
        <v>0</v>
      </c>
      <c r="E57" s="12">
        <f>IF(A57="","",COUNTIFS('📥 Data Source'!$B$5:$B$38201,A57,'📥 Data Source'!$E$5:$E$38201,"Porteur"))</f>
        <v>0</v>
      </c>
      <c r="F57" s="12">
        <f>IF(A57="","",COUNTIFS('📥 Data Source'!$B$5:$B$38201,A57,'📥 Data Source'!$E$5:$E$38201,"Non porteur"))</f>
        <v>0</v>
      </c>
    </row>
    <row r="58" spans="1:6" ht="20" customHeight="1">
      <c r="A58" s="8">
        <f t="array" ref="A58">IFERROR(INDEX('📥 Data Source'!$B$5:$B$38201,MATCH(0,COUNTIF($A$9:A57,'📥 Data Source'!$B$5:$B$38201)+IF('📥 Data Source'!$B$5:$B$38201="",1,0),0)),"")</f>
        <v>0</v>
      </c>
      <c r="B58" s="9">
        <f>IFERROR(IF(A58="","",INDEX('📥 Data Source'!$C$5:$C$38201,MATCH(A58,'📥 Data Source'!$B$5:$B$38201,0))),"")</f>
        <v>0</v>
      </c>
      <c r="C58" s="7">
        <f>IF(A58="","",SUMIF('📥 Data Source'!$B$5:$B$38201,A58,'📥 Data Source'!$F$5:$F$38201))</f>
        <v>0</v>
      </c>
      <c r="D58" s="11">
        <f>IF(A58="","",SUMIF('📥 Data Source'!$B$5:$B$38201,A58,'📥 Data Source'!$G$5:$G$38201))</f>
        <v>0</v>
      </c>
      <c r="E58" s="7">
        <f>IF(A58="","",COUNTIFS('📥 Data Source'!$B$5:$B$38201,A58,'📥 Data Source'!$E$5:$E$38201,"Porteur"))</f>
        <v>0</v>
      </c>
      <c r="F58" s="7">
        <f>IF(A58="","",COUNTIFS('📥 Data Source'!$B$5:$B$38201,A58,'📥 Data Source'!$E$5:$E$38201,"Non porteur"))</f>
        <v>0</v>
      </c>
    </row>
    <row r="59" spans="1:6" ht="20" customHeight="1">
      <c r="A59" s="13">
        <f t="array" ref="A59">IFERROR(INDEX('📥 Data Source'!$B$5:$B$38201,MATCH(0,COUNTIF($A$9:A58,'📥 Data Source'!$B$5:$B$38201)+IF('📥 Data Source'!$B$5:$B$38201="",1,0),0)),"")</f>
        <v>0</v>
      </c>
      <c r="B59" s="14">
        <f>IFERROR(IF(A59="","",INDEX('📥 Data Source'!$C$5:$C$38201,MATCH(A59,'📥 Data Source'!$B$5:$B$38201,0))),"")</f>
        <v>0</v>
      </c>
      <c r="C59" s="12">
        <f>IF(A59="","",SUMIF('📥 Data Source'!$B$5:$B$38201,A59,'📥 Data Source'!$F$5:$F$38201))</f>
        <v>0</v>
      </c>
      <c r="D59" s="16">
        <f>IF(A59="","",SUMIF('📥 Data Source'!$B$5:$B$38201,A59,'📥 Data Source'!$G$5:$G$38201))</f>
        <v>0</v>
      </c>
      <c r="E59" s="12">
        <f>IF(A59="","",COUNTIFS('📥 Data Source'!$B$5:$B$38201,A59,'📥 Data Source'!$E$5:$E$38201,"Porteur"))</f>
        <v>0</v>
      </c>
      <c r="F59" s="12">
        <f>IF(A59="","",COUNTIFS('📥 Data Source'!$B$5:$B$38201,A59,'📥 Data Source'!$E$5:$E$38201,"Non porteur"))</f>
        <v>0</v>
      </c>
    </row>
    <row r="60" spans="1:6" ht="26" customHeight="1">
      <c r="A60" s="26" t="s">
        <v>44</v>
      </c>
      <c r="B60" s="26"/>
      <c r="C60" s="26">
        <f>SUM(C10:C59)</f>
        <v>0</v>
      </c>
      <c r="D60" s="27">
        <f>SUM(D10:D59)</f>
        <v>0</v>
      </c>
      <c r="E60" s="26">
        <f>SUM(E10:E59)</f>
        <v>0</v>
      </c>
      <c r="F60" s="26">
        <f>SUM(F10:F59)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148F77"/>
  </sheetPr>
  <dimension ref="A1:F56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2.7109375" customWidth="1"/>
    <col min="2" max="2" width="28.7109375" customWidth="1"/>
    <col min="3" max="3" width="22.7109375" customWidth="1"/>
    <col min="4" max="5" width="20.7109375" customWidth="1"/>
    <col min="6" max="6" width="22.7109375" customWidth="1"/>
  </cols>
  <sheetData>
    <row r="1" spans="1:6" ht="42" customHeight="1">
      <c r="A1" s="28" t="s">
        <v>45</v>
      </c>
      <c r="B1" s="29"/>
      <c r="C1" s="29"/>
      <c r="D1" s="29"/>
      <c r="E1" s="29"/>
      <c r="F1" s="29"/>
    </row>
    <row r="2" spans="1:6" ht="18" customHeight="1">
      <c r="A2" s="30" t="s">
        <v>30</v>
      </c>
      <c r="B2" s="31"/>
      <c r="C2" s="31"/>
      <c r="D2" s="31"/>
      <c r="E2" s="31"/>
      <c r="F2" s="31"/>
    </row>
    <row r="3" spans="1:6" ht="6" customHeight="1">
      <c r="A3" s="5"/>
      <c r="B3" s="5"/>
      <c r="C3" s="5"/>
      <c r="D3" s="5"/>
      <c r="E3" s="5"/>
      <c r="F3" s="5"/>
    </row>
    <row r="4" spans="1:6" ht="26" customHeight="1">
      <c r="A4" s="32" t="s">
        <v>46</v>
      </c>
      <c r="B4" s="29"/>
      <c r="C4" s="29"/>
      <c r="D4" s="29"/>
      <c r="E4" s="29"/>
      <c r="F4" s="29"/>
    </row>
    <row r="5" spans="1:6" ht="34" customHeight="1">
      <c r="A5" s="33" t="s">
        <v>47</v>
      </c>
      <c r="B5" s="33" t="s">
        <v>48</v>
      </c>
      <c r="C5" s="33" t="s">
        <v>40</v>
      </c>
      <c r="D5" s="33" t="s">
        <v>41</v>
      </c>
      <c r="E5" s="33" t="s">
        <v>42</v>
      </c>
      <c r="F5" s="33" t="s">
        <v>43</v>
      </c>
    </row>
    <row r="6" spans="1:6" ht="20" customHeight="1">
      <c r="A6" s="34">
        <f t="array" ref="A6">IFERROR(INDEX('📥 Data Source'!$D$5:$D$38201,MATCH(0,COUNTIF($A$4:A5,'📥 Data Source'!$D$5:$D$38201)+IF('📥 Data Source'!$D$5:$D$38201="",1,0),0)),"")</f>
        <v>0</v>
      </c>
      <c r="B6" s="9">
        <f>IFERROR(IF(A6="","",INDEX('📥 Data Source'!$C$5:$C$38201,MATCH(A6,'📥 Data Source'!$D$5:$D$38201,0))),"")</f>
        <v>0</v>
      </c>
      <c r="C6" s="7">
        <f>IF(A6="","",SUMIF('📥 Data Source'!$D$5:$D$38201,A6,'📥 Data Source'!$F$5:$F$38201))</f>
        <v>0</v>
      </c>
      <c r="D6" s="11">
        <f>IF(A6="","",SUMIF('📥 Data Source'!$D$5:$D$38201,A6,'📥 Data Source'!$G$5:$G$38201))</f>
        <v>0</v>
      </c>
      <c r="E6" s="7">
        <f>IF(A6="","",COUNTIFS('📥 Data Source'!$D$5:$D$38201,A6,'📥 Data Source'!$E$5:$E$38201,"Porteur"))</f>
        <v>0</v>
      </c>
      <c r="F6" s="7">
        <f>IF(A6="","",COUNTIFS('📥 Data Source'!$D$5:$D$38201,A6,'📥 Data Source'!$E$5:$E$38201,"Non porteur"))</f>
        <v>0</v>
      </c>
    </row>
    <row r="7" spans="1:6" ht="20" customHeight="1">
      <c r="A7" s="35">
        <f t="array" ref="A7">IFERROR(INDEX('📥 Data Source'!$D$5:$D$38201,MATCH(0,COUNTIF($A$4:A6,'📥 Data Source'!$D$5:$D$38201)+IF('📥 Data Source'!$D$5:$D$38201="",1,0),0)),"")</f>
        <v>0</v>
      </c>
      <c r="B7" s="14">
        <f>IFERROR(IF(A7="","",INDEX('📥 Data Source'!$C$5:$C$38201,MATCH(A7,'📥 Data Source'!$D$5:$D$38201,0))),"")</f>
        <v>0</v>
      </c>
      <c r="C7" s="12">
        <f>IF(A7="","",SUMIF('📥 Data Source'!$D$5:$D$38201,A7,'📥 Data Source'!$F$5:$F$38201))</f>
        <v>0</v>
      </c>
      <c r="D7" s="16">
        <f>IF(A7="","",SUMIF('📥 Data Source'!$D$5:$D$38201,A7,'📥 Data Source'!$G$5:$G$38201))</f>
        <v>0</v>
      </c>
      <c r="E7" s="12">
        <f>IF(A7="","",COUNTIFS('📥 Data Source'!$D$5:$D$38201,A7,'📥 Data Source'!$E$5:$E$38201,"Porteur"))</f>
        <v>0</v>
      </c>
      <c r="F7" s="12">
        <f>IF(A7="","",COUNTIFS('📥 Data Source'!$D$5:$D$38201,A7,'📥 Data Source'!$E$5:$E$38201,"Non porteur"))</f>
        <v>0</v>
      </c>
    </row>
    <row r="8" spans="1:6" ht="20" customHeight="1">
      <c r="A8" s="34">
        <f t="array" ref="A8">IFERROR(INDEX('📥 Data Source'!$D$5:$D$38201,MATCH(0,COUNTIF($A$4:A7,'📥 Data Source'!$D$5:$D$38201)+IF('📥 Data Source'!$D$5:$D$38201="",1,0),0)),"")</f>
        <v>0</v>
      </c>
      <c r="B8" s="9">
        <f>IFERROR(IF(A8="","",INDEX('📥 Data Source'!$C$5:$C$38201,MATCH(A8,'📥 Data Source'!$D$5:$D$38201,0))),"")</f>
        <v>0</v>
      </c>
      <c r="C8" s="7">
        <f>IF(A8="","",SUMIF('📥 Data Source'!$D$5:$D$38201,A8,'📥 Data Source'!$F$5:$F$38201))</f>
        <v>0</v>
      </c>
      <c r="D8" s="11">
        <f>IF(A8="","",SUMIF('📥 Data Source'!$D$5:$D$38201,A8,'📥 Data Source'!$G$5:$G$38201))</f>
        <v>0</v>
      </c>
      <c r="E8" s="7">
        <f>IF(A8="","",COUNTIFS('📥 Data Source'!$D$5:$D$38201,A8,'📥 Data Source'!$E$5:$E$38201,"Porteur"))</f>
        <v>0</v>
      </c>
      <c r="F8" s="7">
        <f>IF(A8="","",COUNTIFS('📥 Data Source'!$D$5:$D$38201,A8,'📥 Data Source'!$E$5:$E$38201,"Non porteur"))</f>
        <v>0</v>
      </c>
    </row>
    <row r="9" spans="1:6" ht="20" customHeight="1">
      <c r="A9" s="35">
        <f t="array" ref="A9">IFERROR(INDEX('📥 Data Source'!$D$5:$D$38201,MATCH(0,COUNTIF($A$4:A8,'📥 Data Source'!$D$5:$D$38201)+IF('📥 Data Source'!$D$5:$D$38201="",1,0),0)),"")</f>
        <v>0</v>
      </c>
      <c r="B9" s="14">
        <f>IFERROR(IF(A9="","",INDEX('📥 Data Source'!$C$5:$C$38201,MATCH(A9,'📥 Data Source'!$D$5:$D$38201,0))),"")</f>
        <v>0</v>
      </c>
      <c r="C9" s="12">
        <f>IF(A9="","",SUMIF('📥 Data Source'!$D$5:$D$38201,A9,'📥 Data Source'!$F$5:$F$38201))</f>
        <v>0</v>
      </c>
      <c r="D9" s="16">
        <f>IF(A9="","",SUMIF('📥 Data Source'!$D$5:$D$38201,A9,'📥 Data Source'!$G$5:$G$38201))</f>
        <v>0</v>
      </c>
      <c r="E9" s="12">
        <f>IF(A9="","",COUNTIFS('📥 Data Source'!$D$5:$D$38201,A9,'📥 Data Source'!$E$5:$E$38201,"Porteur"))</f>
        <v>0</v>
      </c>
      <c r="F9" s="12">
        <f>IF(A9="","",COUNTIFS('📥 Data Source'!$D$5:$D$38201,A9,'📥 Data Source'!$E$5:$E$38201,"Non porteur"))</f>
        <v>0</v>
      </c>
    </row>
    <row r="10" spans="1:6" ht="20" customHeight="1">
      <c r="A10" s="34">
        <f t="array" ref="A10">IFERROR(INDEX('📥 Data Source'!$D$5:$D$38201,MATCH(0,COUNTIF($A$4:A9,'📥 Data Source'!$D$5:$D$38201)+IF('📥 Data Source'!$D$5:$D$38201="",1,0),0)),"")</f>
        <v>0</v>
      </c>
      <c r="B10" s="9">
        <f>IFERROR(IF(A10="","",INDEX('📥 Data Source'!$C$5:$C$38201,MATCH(A10,'📥 Data Source'!$D$5:$D$38201,0))),"")</f>
        <v>0</v>
      </c>
      <c r="C10" s="7">
        <f>IF(A10="","",SUMIF('📥 Data Source'!$D$5:$D$38201,A10,'📥 Data Source'!$F$5:$F$38201))</f>
        <v>0</v>
      </c>
      <c r="D10" s="11">
        <f>IF(A10="","",SUMIF('📥 Data Source'!$D$5:$D$38201,A10,'📥 Data Source'!$G$5:$G$38201))</f>
        <v>0</v>
      </c>
      <c r="E10" s="7">
        <f>IF(A10="","",COUNTIFS('📥 Data Source'!$D$5:$D$38201,A10,'📥 Data Source'!$E$5:$E$38201,"Porteur"))</f>
        <v>0</v>
      </c>
      <c r="F10" s="7">
        <f>IF(A10="","",COUNTIFS('📥 Data Source'!$D$5:$D$38201,A10,'📥 Data Source'!$E$5:$E$38201,"Non porteur"))</f>
        <v>0</v>
      </c>
    </row>
    <row r="11" spans="1:6" ht="20" customHeight="1">
      <c r="A11" s="35">
        <f t="array" ref="A11">IFERROR(INDEX('📥 Data Source'!$D$5:$D$38201,MATCH(0,COUNTIF($A$4:A10,'📥 Data Source'!$D$5:$D$38201)+IF('📥 Data Source'!$D$5:$D$38201="",1,0),0)),"")</f>
        <v>0</v>
      </c>
      <c r="B11" s="14">
        <f>IFERROR(IF(A11="","",INDEX('📥 Data Source'!$C$5:$C$38201,MATCH(A11,'📥 Data Source'!$D$5:$D$38201,0))),"")</f>
        <v>0</v>
      </c>
      <c r="C11" s="12">
        <f>IF(A11="","",SUMIF('📥 Data Source'!$D$5:$D$38201,A11,'📥 Data Source'!$F$5:$F$38201))</f>
        <v>0</v>
      </c>
      <c r="D11" s="16">
        <f>IF(A11="","",SUMIF('📥 Data Source'!$D$5:$D$38201,A11,'📥 Data Source'!$G$5:$G$38201))</f>
        <v>0</v>
      </c>
      <c r="E11" s="12">
        <f>IF(A11="","",COUNTIFS('📥 Data Source'!$D$5:$D$38201,A11,'📥 Data Source'!$E$5:$E$38201,"Porteur"))</f>
        <v>0</v>
      </c>
      <c r="F11" s="12">
        <f>IF(A11="","",COUNTIFS('📥 Data Source'!$D$5:$D$38201,A11,'📥 Data Source'!$E$5:$E$38201,"Non porteur"))</f>
        <v>0</v>
      </c>
    </row>
    <row r="12" spans="1:6" ht="20" customHeight="1">
      <c r="A12" s="34">
        <f t="array" ref="A12">IFERROR(INDEX('📥 Data Source'!$D$5:$D$38201,MATCH(0,COUNTIF($A$4:A11,'📥 Data Source'!$D$5:$D$38201)+IF('📥 Data Source'!$D$5:$D$38201="",1,0),0)),"")</f>
        <v>0</v>
      </c>
      <c r="B12" s="9">
        <f>IFERROR(IF(A12="","",INDEX('📥 Data Source'!$C$5:$C$38201,MATCH(A12,'📥 Data Source'!$D$5:$D$38201,0))),"")</f>
        <v>0</v>
      </c>
      <c r="C12" s="7">
        <f>IF(A12="","",SUMIF('📥 Data Source'!$D$5:$D$38201,A12,'📥 Data Source'!$F$5:$F$38201))</f>
        <v>0</v>
      </c>
      <c r="D12" s="11">
        <f>IF(A12="","",SUMIF('📥 Data Source'!$D$5:$D$38201,A12,'📥 Data Source'!$G$5:$G$38201))</f>
        <v>0</v>
      </c>
      <c r="E12" s="7">
        <f>IF(A12="","",COUNTIFS('📥 Data Source'!$D$5:$D$38201,A12,'📥 Data Source'!$E$5:$E$38201,"Porteur"))</f>
        <v>0</v>
      </c>
      <c r="F12" s="7">
        <f>IF(A12="","",COUNTIFS('📥 Data Source'!$D$5:$D$38201,A12,'📥 Data Source'!$E$5:$E$38201,"Non porteur"))</f>
        <v>0</v>
      </c>
    </row>
    <row r="13" spans="1:6" ht="20" customHeight="1">
      <c r="A13" s="35">
        <f t="array" ref="A13">IFERROR(INDEX('📥 Data Source'!$D$5:$D$38201,MATCH(0,COUNTIF($A$4:A12,'📥 Data Source'!$D$5:$D$38201)+IF('📥 Data Source'!$D$5:$D$38201="",1,0),0)),"")</f>
        <v>0</v>
      </c>
      <c r="B13" s="14">
        <f>IFERROR(IF(A13="","",INDEX('📥 Data Source'!$C$5:$C$38201,MATCH(A13,'📥 Data Source'!$D$5:$D$38201,0))),"")</f>
        <v>0</v>
      </c>
      <c r="C13" s="12">
        <f>IF(A13="","",SUMIF('📥 Data Source'!$D$5:$D$38201,A13,'📥 Data Source'!$F$5:$F$38201))</f>
        <v>0</v>
      </c>
      <c r="D13" s="16">
        <f>IF(A13="","",SUMIF('📥 Data Source'!$D$5:$D$38201,A13,'📥 Data Source'!$G$5:$G$38201))</f>
        <v>0</v>
      </c>
      <c r="E13" s="12">
        <f>IF(A13="","",COUNTIFS('📥 Data Source'!$D$5:$D$38201,A13,'📥 Data Source'!$E$5:$E$38201,"Porteur"))</f>
        <v>0</v>
      </c>
      <c r="F13" s="12">
        <f>IF(A13="","",COUNTIFS('📥 Data Source'!$D$5:$D$38201,A13,'📥 Data Source'!$E$5:$E$38201,"Non porteur"))</f>
        <v>0</v>
      </c>
    </row>
    <row r="14" spans="1:6" ht="20" customHeight="1">
      <c r="A14" s="34">
        <f t="array" ref="A14">IFERROR(INDEX('📥 Data Source'!$D$5:$D$38201,MATCH(0,COUNTIF($A$4:A13,'📥 Data Source'!$D$5:$D$38201)+IF('📥 Data Source'!$D$5:$D$38201="",1,0),0)),"")</f>
        <v>0</v>
      </c>
      <c r="B14" s="9">
        <f>IFERROR(IF(A14="","",INDEX('📥 Data Source'!$C$5:$C$38201,MATCH(A14,'📥 Data Source'!$D$5:$D$38201,0))),"")</f>
        <v>0</v>
      </c>
      <c r="C14" s="7">
        <f>IF(A14="","",SUMIF('📥 Data Source'!$D$5:$D$38201,A14,'📥 Data Source'!$F$5:$F$38201))</f>
        <v>0</v>
      </c>
      <c r="D14" s="11">
        <f>IF(A14="","",SUMIF('📥 Data Source'!$D$5:$D$38201,A14,'📥 Data Source'!$G$5:$G$38201))</f>
        <v>0</v>
      </c>
      <c r="E14" s="7">
        <f>IF(A14="","",COUNTIFS('📥 Data Source'!$D$5:$D$38201,A14,'📥 Data Source'!$E$5:$E$38201,"Porteur"))</f>
        <v>0</v>
      </c>
      <c r="F14" s="7">
        <f>IF(A14="","",COUNTIFS('📥 Data Source'!$D$5:$D$38201,A14,'📥 Data Source'!$E$5:$E$38201,"Non porteur"))</f>
        <v>0</v>
      </c>
    </row>
    <row r="15" spans="1:6" ht="20" customHeight="1">
      <c r="A15" s="35">
        <f t="array" ref="A15">IFERROR(INDEX('📥 Data Source'!$D$5:$D$38201,MATCH(0,COUNTIF($A$4:A14,'📥 Data Source'!$D$5:$D$38201)+IF('📥 Data Source'!$D$5:$D$38201="",1,0),0)),"")</f>
        <v>0</v>
      </c>
      <c r="B15" s="14">
        <f>IFERROR(IF(A15="","",INDEX('📥 Data Source'!$C$5:$C$38201,MATCH(A15,'📥 Data Source'!$D$5:$D$38201,0))),"")</f>
        <v>0</v>
      </c>
      <c r="C15" s="12">
        <f>IF(A15="","",SUMIF('📥 Data Source'!$D$5:$D$38201,A15,'📥 Data Source'!$F$5:$F$38201))</f>
        <v>0</v>
      </c>
      <c r="D15" s="16">
        <f>IF(A15="","",SUMIF('📥 Data Source'!$D$5:$D$38201,A15,'📥 Data Source'!$G$5:$G$38201))</f>
        <v>0</v>
      </c>
      <c r="E15" s="12">
        <f>IF(A15="","",COUNTIFS('📥 Data Source'!$D$5:$D$38201,A15,'📥 Data Source'!$E$5:$E$38201,"Porteur"))</f>
        <v>0</v>
      </c>
      <c r="F15" s="12">
        <f>IF(A15="","",COUNTIFS('📥 Data Source'!$D$5:$D$38201,A15,'📥 Data Source'!$E$5:$E$38201,"Non porteur"))</f>
        <v>0</v>
      </c>
    </row>
    <row r="16" spans="1:6" ht="20" customHeight="1">
      <c r="A16" s="34">
        <f t="array" ref="A16">IFERROR(INDEX('📥 Data Source'!$D$5:$D$38201,MATCH(0,COUNTIF($A$4:A15,'📥 Data Source'!$D$5:$D$38201)+IF('📥 Data Source'!$D$5:$D$38201="",1,0),0)),"")</f>
        <v>0</v>
      </c>
      <c r="B16" s="9">
        <f>IFERROR(IF(A16="","",INDEX('📥 Data Source'!$C$5:$C$38201,MATCH(A16,'📥 Data Source'!$D$5:$D$38201,0))),"")</f>
        <v>0</v>
      </c>
      <c r="C16" s="7">
        <f>IF(A16="","",SUMIF('📥 Data Source'!$D$5:$D$38201,A16,'📥 Data Source'!$F$5:$F$38201))</f>
        <v>0</v>
      </c>
      <c r="D16" s="11">
        <f>IF(A16="","",SUMIF('📥 Data Source'!$D$5:$D$38201,A16,'📥 Data Source'!$G$5:$G$38201))</f>
        <v>0</v>
      </c>
      <c r="E16" s="7">
        <f>IF(A16="","",COUNTIFS('📥 Data Source'!$D$5:$D$38201,A16,'📥 Data Source'!$E$5:$E$38201,"Porteur"))</f>
        <v>0</v>
      </c>
      <c r="F16" s="7">
        <f>IF(A16="","",COUNTIFS('📥 Data Source'!$D$5:$D$38201,A16,'📥 Data Source'!$E$5:$E$38201,"Non porteur"))</f>
        <v>0</v>
      </c>
    </row>
    <row r="17" spans="1:6" ht="20" customHeight="1">
      <c r="A17" s="35">
        <f t="array" ref="A17">IFERROR(INDEX('📥 Data Source'!$D$5:$D$38201,MATCH(0,COUNTIF($A$4:A16,'📥 Data Source'!$D$5:$D$38201)+IF('📥 Data Source'!$D$5:$D$38201="",1,0),0)),"")</f>
        <v>0</v>
      </c>
      <c r="B17" s="14">
        <f>IFERROR(IF(A17="","",INDEX('📥 Data Source'!$C$5:$C$38201,MATCH(A17,'📥 Data Source'!$D$5:$D$38201,0))),"")</f>
        <v>0</v>
      </c>
      <c r="C17" s="12">
        <f>IF(A17="","",SUMIF('📥 Data Source'!$D$5:$D$38201,A17,'📥 Data Source'!$F$5:$F$38201))</f>
        <v>0</v>
      </c>
      <c r="D17" s="16">
        <f>IF(A17="","",SUMIF('📥 Data Source'!$D$5:$D$38201,A17,'📥 Data Source'!$G$5:$G$38201))</f>
        <v>0</v>
      </c>
      <c r="E17" s="12">
        <f>IF(A17="","",COUNTIFS('📥 Data Source'!$D$5:$D$38201,A17,'📥 Data Source'!$E$5:$E$38201,"Porteur"))</f>
        <v>0</v>
      </c>
      <c r="F17" s="12">
        <f>IF(A17="","",COUNTIFS('📥 Data Source'!$D$5:$D$38201,A17,'📥 Data Source'!$E$5:$E$38201,"Non porteur"))</f>
        <v>0</v>
      </c>
    </row>
    <row r="18" spans="1:6" ht="20" customHeight="1">
      <c r="A18" s="34">
        <f t="array" ref="A18">IFERROR(INDEX('📥 Data Source'!$D$5:$D$38201,MATCH(0,COUNTIF($A$4:A17,'📥 Data Source'!$D$5:$D$38201)+IF('📥 Data Source'!$D$5:$D$38201="",1,0),0)),"")</f>
        <v>0</v>
      </c>
      <c r="B18" s="9">
        <f>IFERROR(IF(A18="","",INDEX('📥 Data Source'!$C$5:$C$38201,MATCH(A18,'📥 Data Source'!$D$5:$D$38201,0))),"")</f>
        <v>0</v>
      </c>
      <c r="C18" s="7">
        <f>IF(A18="","",SUMIF('📥 Data Source'!$D$5:$D$38201,A18,'📥 Data Source'!$F$5:$F$38201))</f>
        <v>0</v>
      </c>
      <c r="D18" s="11">
        <f>IF(A18="","",SUMIF('📥 Data Source'!$D$5:$D$38201,A18,'📥 Data Source'!$G$5:$G$38201))</f>
        <v>0</v>
      </c>
      <c r="E18" s="7">
        <f>IF(A18="","",COUNTIFS('📥 Data Source'!$D$5:$D$38201,A18,'📥 Data Source'!$E$5:$E$38201,"Porteur"))</f>
        <v>0</v>
      </c>
      <c r="F18" s="7">
        <f>IF(A18="","",COUNTIFS('📥 Data Source'!$D$5:$D$38201,A18,'📥 Data Source'!$E$5:$E$38201,"Non porteur"))</f>
        <v>0</v>
      </c>
    </row>
    <row r="19" spans="1:6" ht="20" customHeight="1">
      <c r="A19" s="35">
        <f t="array" ref="A19">IFERROR(INDEX('📥 Data Source'!$D$5:$D$38201,MATCH(0,COUNTIF($A$4:A18,'📥 Data Source'!$D$5:$D$38201)+IF('📥 Data Source'!$D$5:$D$38201="",1,0),0)),"")</f>
        <v>0</v>
      </c>
      <c r="B19" s="14">
        <f>IFERROR(IF(A19="","",INDEX('📥 Data Source'!$C$5:$C$38201,MATCH(A19,'📥 Data Source'!$D$5:$D$38201,0))),"")</f>
        <v>0</v>
      </c>
      <c r="C19" s="12">
        <f>IF(A19="","",SUMIF('📥 Data Source'!$D$5:$D$38201,A19,'📥 Data Source'!$F$5:$F$38201))</f>
        <v>0</v>
      </c>
      <c r="D19" s="16">
        <f>IF(A19="","",SUMIF('📥 Data Source'!$D$5:$D$38201,A19,'📥 Data Source'!$G$5:$G$38201))</f>
        <v>0</v>
      </c>
      <c r="E19" s="12">
        <f>IF(A19="","",COUNTIFS('📥 Data Source'!$D$5:$D$38201,A19,'📥 Data Source'!$E$5:$E$38201,"Porteur"))</f>
        <v>0</v>
      </c>
      <c r="F19" s="12">
        <f>IF(A19="","",COUNTIFS('📥 Data Source'!$D$5:$D$38201,A19,'📥 Data Source'!$E$5:$E$38201,"Non porteur"))</f>
        <v>0</v>
      </c>
    </row>
    <row r="20" spans="1:6" ht="20" customHeight="1">
      <c r="A20" s="34">
        <f t="array" ref="A20">IFERROR(INDEX('📥 Data Source'!$D$5:$D$38201,MATCH(0,COUNTIF($A$4:A19,'📥 Data Source'!$D$5:$D$38201)+IF('📥 Data Source'!$D$5:$D$38201="",1,0),0)),"")</f>
        <v>0</v>
      </c>
      <c r="B20" s="9">
        <f>IFERROR(IF(A20="","",INDEX('📥 Data Source'!$C$5:$C$38201,MATCH(A20,'📥 Data Source'!$D$5:$D$38201,0))),"")</f>
        <v>0</v>
      </c>
      <c r="C20" s="7">
        <f>IF(A20="","",SUMIF('📥 Data Source'!$D$5:$D$38201,A20,'📥 Data Source'!$F$5:$F$38201))</f>
        <v>0</v>
      </c>
      <c r="D20" s="11">
        <f>IF(A20="","",SUMIF('📥 Data Source'!$D$5:$D$38201,A20,'📥 Data Source'!$G$5:$G$38201))</f>
        <v>0</v>
      </c>
      <c r="E20" s="7">
        <f>IF(A20="","",COUNTIFS('📥 Data Source'!$D$5:$D$38201,A20,'📥 Data Source'!$E$5:$E$38201,"Porteur"))</f>
        <v>0</v>
      </c>
      <c r="F20" s="7">
        <f>IF(A20="","",COUNTIFS('📥 Data Source'!$D$5:$D$38201,A20,'📥 Data Source'!$E$5:$E$38201,"Non porteur"))</f>
        <v>0</v>
      </c>
    </row>
    <row r="21" spans="1:6" ht="20" customHeight="1">
      <c r="A21" s="35">
        <f t="array" ref="A21">IFERROR(INDEX('📥 Data Source'!$D$5:$D$38201,MATCH(0,COUNTIF($A$4:A20,'📥 Data Source'!$D$5:$D$38201)+IF('📥 Data Source'!$D$5:$D$38201="",1,0),0)),"")</f>
        <v>0</v>
      </c>
      <c r="B21" s="14">
        <f>IFERROR(IF(A21="","",INDEX('📥 Data Source'!$C$5:$C$38201,MATCH(A21,'📥 Data Source'!$D$5:$D$38201,0))),"")</f>
        <v>0</v>
      </c>
      <c r="C21" s="12">
        <f>IF(A21="","",SUMIF('📥 Data Source'!$D$5:$D$38201,A21,'📥 Data Source'!$F$5:$F$38201))</f>
        <v>0</v>
      </c>
      <c r="D21" s="16">
        <f>IF(A21="","",SUMIF('📥 Data Source'!$D$5:$D$38201,A21,'📥 Data Source'!$G$5:$G$38201))</f>
        <v>0</v>
      </c>
      <c r="E21" s="12">
        <f>IF(A21="","",COUNTIFS('📥 Data Source'!$D$5:$D$38201,A21,'📥 Data Source'!$E$5:$E$38201,"Porteur"))</f>
        <v>0</v>
      </c>
      <c r="F21" s="12">
        <f>IF(A21="","",COUNTIFS('📥 Data Source'!$D$5:$D$38201,A21,'📥 Data Source'!$E$5:$E$38201,"Non porteur"))</f>
        <v>0</v>
      </c>
    </row>
    <row r="22" spans="1:6" ht="20" customHeight="1">
      <c r="A22" s="34">
        <f t="array" ref="A22">IFERROR(INDEX('📥 Data Source'!$D$5:$D$38201,MATCH(0,COUNTIF($A$4:A21,'📥 Data Source'!$D$5:$D$38201)+IF('📥 Data Source'!$D$5:$D$38201="",1,0),0)),"")</f>
        <v>0</v>
      </c>
      <c r="B22" s="9">
        <f>IFERROR(IF(A22="","",INDEX('📥 Data Source'!$C$5:$C$38201,MATCH(A22,'📥 Data Source'!$D$5:$D$38201,0))),"")</f>
        <v>0</v>
      </c>
      <c r="C22" s="7">
        <f>IF(A22="","",SUMIF('📥 Data Source'!$D$5:$D$38201,A22,'📥 Data Source'!$F$5:$F$38201))</f>
        <v>0</v>
      </c>
      <c r="D22" s="11">
        <f>IF(A22="","",SUMIF('📥 Data Source'!$D$5:$D$38201,A22,'📥 Data Source'!$G$5:$G$38201))</f>
        <v>0</v>
      </c>
      <c r="E22" s="7">
        <f>IF(A22="","",COUNTIFS('📥 Data Source'!$D$5:$D$38201,A22,'📥 Data Source'!$E$5:$E$38201,"Porteur"))</f>
        <v>0</v>
      </c>
      <c r="F22" s="7">
        <f>IF(A22="","",COUNTIFS('📥 Data Source'!$D$5:$D$38201,A22,'📥 Data Source'!$E$5:$E$38201,"Non porteur"))</f>
        <v>0</v>
      </c>
    </row>
    <row r="23" spans="1:6" ht="20" customHeight="1">
      <c r="A23" s="35">
        <f t="array" ref="A23">IFERROR(INDEX('📥 Data Source'!$D$5:$D$38201,MATCH(0,COUNTIF($A$4:A22,'📥 Data Source'!$D$5:$D$38201)+IF('📥 Data Source'!$D$5:$D$38201="",1,0),0)),"")</f>
        <v>0</v>
      </c>
      <c r="B23" s="14">
        <f>IFERROR(IF(A23="","",INDEX('📥 Data Source'!$C$5:$C$38201,MATCH(A23,'📥 Data Source'!$D$5:$D$38201,0))),"")</f>
        <v>0</v>
      </c>
      <c r="C23" s="12">
        <f>IF(A23="","",SUMIF('📥 Data Source'!$D$5:$D$38201,A23,'📥 Data Source'!$F$5:$F$38201))</f>
        <v>0</v>
      </c>
      <c r="D23" s="16">
        <f>IF(A23="","",SUMIF('📥 Data Source'!$D$5:$D$38201,A23,'📥 Data Source'!$G$5:$G$38201))</f>
        <v>0</v>
      </c>
      <c r="E23" s="12">
        <f>IF(A23="","",COUNTIFS('📥 Data Source'!$D$5:$D$38201,A23,'📥 Data Source'!$E$5:$E$38201,"Porteur"))</f>
        <v>0</v>
      </c>
      <c r="F23" s="12">
        <f>IF(A23="","",COUNTIFS('📥 Data Source'!$D$5:$D$38201,A23,'📥 Data Source'!$E$5:$E$38201,"Non porteur"))</f>
        <v>0</v>
      </c>
    </row>
    <row r="24" spans="1:6" ht="20" customHeight="1">
      <c r="A24" s="34">
        <f t="array" ref="A24">IFERROR(INDEX('📥 Data Source'!$D$5:$D$38201,MATCH(0,COUNTIF($A$4:A23,'📥 Data Source'!$D$5:$D$38201)+IF('📥 Data Source'!$D$5:$D$38201="",1,0),0)),"")</f>
        <v>0</v>
      </c>
      <c r="B24" s="9">
        <f>IFERROR(IF(A24="","",INDEX('📥 Data Source'!$C$5:$C$38201,MATCH(A24,'📥 Data Source'!$D$5:$D$38201,0))),"")</f>
        <v>0</v>
      </c>
      <c r="C24" s="7">
        <f>IF(A24="","",SUMIF('📥 Data Source'!$D$5:$D$38201,A24,'📥 Data Source'!$F$5:$F$38201))</f>
        <v>0</v>
      </c>
      <c r="D24" s="11">
        <f>IF(A24="","",SUMIF('📥 Data Source'!$D$5:$D$38201,A24,'📥 Data Source'!$G$5:$G$38201))</f>
        <v>0</v>
      </c>
      <c r="E24" s="7">
        <f>IF(A24="","",COUNTIFS('📥 Data Source'!$D$5:$D$38201,A24,'📥 Data Source'!$E$5:$E$38201,"Porteur"))</f>
        <v>0</v>
      </c>
      <c r="F24" s="7">
        <f>IF(A24="","",COUNTIFS('📥 Data Source'!$D$5:$D$38201,A24,'📥 Data Source'!$E$5:$E$38201,"Non porteur"))</f>
        <v>0</v>
      </c>
    </row>
    <row r="25" spans="1:6" ht="20" customHeight="1">
      <c r="A25" s="35">
        <f t="array" ref="A25">IFERROR(INDEX('📥 Data Source'!$D$5:$D$38201,MATCH(0,COUNTIF($A$4:A24,'📥 Data Source'!$D$5:$D$38201)+IF('📥 Data Source'!$D$5:$D$38201="",1,0),0)),"")</f>
        <v>0</v>
      </c>
      <c r="B25" s="14">
        <f>IFERROR(IF(A25="","",INDEX('📥 Data Source'!$C$5:$C$38201,MATCH(A25,'📥 Data Source'!$D$5:$D$38201,0))),"")</f>
        <v>0</v>
      </c>
      <c r="C25" s="12">
        <f>IF(A25="","",SUMIF('📥 Data Source'!$D$5:$D$38201,A25,'📥 Data Source'!$F$5:$F$38201))</f>
        <v>0</v>
      </c>
      <c r="D25" s="16">
        <f>IF(A25="","",SUMIF('📥 Data Source'!$D$5:$D$38201,A25,'📥 Data Source'!$G$5:$G$38201))</f>
        <v>0</v>
      </c>
      <c r="E25" s="12">
        <f>IF(A25="","",COUNTIFS('📥 Data Source'!$D$5:$D$38201,A25,'📥 Data Source'!$E$5:$E$38201,"Porteur"))</f>
        <v>0</v>
      </c>
      <c r="F25" s="12">
        <f>IF(A25="","",COUNTIFS('📥 Data Source'!$D$5:$D$38201,A25,'📥 Data Source'!$E$5:$E$38201,"Non porteur"))</f>
        <v>0</v>
      </c>
    </row>
    <row r="26" spans="1:6" ht="20" customHeight="1">
      <c r="A26" s="34">
        <f t="array" ref="A26">IFERROR(INDEX('📥 Data Source'!$D$5:$D$38201,MATCH(0,COUNTIF($A$4:A25,'📥 Data Source'!$D$5:$D$38201)+IF('📥 Data Source'!$D$5:$D$38201="",1,0),0)),"")</f>
        <v>0</v>
      </c>
      <c r="B26" s="9">
        <f>IFERROR(IF(A26="","",INDEX('📥 Data Source'!$C$5:$C$38201,MATCH(A26,'📥 Data Source'!$D$5:$D$38201,0))),"")</f>
        <v>0</v>
      </c>
      <c r="C26" s="7">
        <f>IF(A26="","",SUMIF('📥 Data Source'!$D$5:$D$38201,A26,'📥 Data Source'!$F$5:$F$38201))</f>
        <v>0</v>
      </c>
      <c r="D26" s="11">
        <f>IF(A26="","",SUMIF('📥 Data Source'!$D$5:$D$38201,A26,'📥 Data Source'!$G$5:$G$38201))</f>
        <v>0</v>
      </c>
      <c r="E26" s="7">
        <f>IF(A26="","",COUNTIFS('📥 Data Source'!$D$5:$D$38201,A26,'📥 Data Source'!$E$5:$E$38201,"Porteur"))</f>
        <v>0</v>
      </c>
      <c r="F26" s="7">
        <f>IF(A26="","",COUNTIFS('📥 Data Source'!$D$5:$D$38201,A26,'📥 Data Source'!$E$5:$E$38201,"Non porteur"))</f>
        <v>0</v>
      </c>
    </row>
    <row r="27" spans="1:6" ht="20" customHeight="1">
      <c r="A27" s="35">
        <f t="array" ref="A27">IFERROR(INDEX('📥 Data Source'!$D$5:$D$38201,MATCH(0,COUNTIF($A$4:A26,'📥 Data Source'!$D$5:$D$38201)+IF('📥 Data Source'!$D$5:$D$38201="",1,0),0)),"")</f>
        <v>0</v>
      </c>
      <c r="B27" s="14">
        <f>IFERROR(IF(A27="","",INDEX('📥 Data Source'!$C$5:$C$38201,MATCH(A27,'📥 Data Source'!$D$5:$D$38201,0))),"")</f>
        <v>0</v>
      </c>
      <c r="C27" s="12">
        <f>IF(A27="","",SUMIF('📥 Data Source'!$D$5:$D$38201,A27,'📥 Data Source'!$F$5:$F$38201))</f>
        <v>0</v>
      </c>
      <c r="D27" s="16">
        <f>IF(A27="","",SUMIF('📥 Data Source'!$D$5:$D$38201,A27,'📥 Data Source'!$G$5:$G$38201))</f>
        <v>0</v>
      </c>
      <c r="E27" s="12">
        <f>IF(A27="","",COUNTIFS('📥 Data Source'!$D$5:$D$38201,A27,'📥 Data Source'!$E$5:$E$38201,"Porteur"))</f>
        <v>0</v>
      </c>
      <c r="F27" s="12">
        <f>IF(A27="","",COUNTIFS('📥 Data Source'!$D$5:$D$38201,A27,'📥 Data Source'!$E$5:$E$38201,"Non porteur"))</f>
        <v>0</v>
      </c>
    </row>
    <row r="28" spans="1:6" ht="20" customHeight="1">
      <c r="A28" s="34">
        <f t="array" ref="A28">IFERROR(INDEX('📥 Data Source'!$D$5:$D$38201,MATCH(0,COUNTIF($A$4:A27,'📥 Data Source'!$D$5:$D$38201)+IF('📥 Data Source'!$D$5:$D$38201="",1,0),0)),"")</f>
        <v>0</v>
      </c>
      <c r="B28" s="9">
        <f>IFERROR(IF(A28="","",INDEX('📥 Data Source'!$C$5:$C$38201,MATCH(A28,'📥 Data Source'!$D$5:$D$38201,0))),"")</f>
        <v>0</v>
      </c>
      <c r="C28" s="7">
        <f>IF(A28="","",SUMIF('📥 Data Source'!$D$5:$D$38201,A28,'📥 Data Source'!$F$5:$F$38201))</f>
        <v>0</v>
      </c>
      <c r="D28" s="11">
        <f>IF(A28="","",SUMIF('📥 Data Source'!$D$5:$D$38201,A28,'📥 Data Source'!$G$5:$G$38201))</f>
        <v>0</v>
      </c>
      <c r="E28" s="7">
        <f>IF(A28="","",COUNTIFS('📥 Data Source'!$D$5:$D$38201,A28,'📥 Data Source'!$E$5:$E$38201,"Porteur"))</f>
        <v>0</v>
      </c>
      <c r="F28" s="7">
        <f>IF(A28="","",COUNTIFS('📥 Data Source'!$D$5:$D$38201,A28,'📥 Data Source'!$E$5:$E$38201,"Non porteur"))</f>
        <v>0</v>
      </c>
    </row>
    <row r="29" spans="1:6" ht="20" customHeight="1">
      <c r="A29" s="35">
        <f t="array" ref="A29">IFERROR(INDEX('📥 Data Source'!$D$5:$D$38201,MATCH(0,COUNTIF($A$4:A28,'📥 Data Source'!$D$5:$D$38201)+IF('📥 Data Source'!$D$5:$D$38201="",1,0),0)),"")</f>
        <v>0</v>
      </c>
      <c r="B29" s="14">
        <f>IFERROR(IF(A29="","",INDEX('📥 Data Source'!$C$5:$C$38201,MATCH(A29,'📥 Data Source'!$D$5:$D$38201,0))),"")</f>
        <v>0</v>
      </c>
      <c r="C29" s="12">
        <f>IF(A29="","",SUMIF('📥 Data Source'!$D$5:$D$38201,A29,'📥 Data Source'!$F$5:$F$38201))</f>
        <v>0</v>
      </c>
      <c r="D29" s="16">
        <f>IF(A29="","",SUMIF('📥 Data Source'!$D$5:$D$38201,A29,'📥 Data Source'!$G$5:$G$38201))</f>
        <v>0</v>
      </c>
      <c r="E29" s="12">
        <f>IF(A29="","",COUNTIFS('📥 Data Source'!$D$5:$D$38201,A29,'📥 Data Source'!$E$5:$E$38201,"Porteur"))</f>
        <v>0</v>
      </c>
      <c r="F29" s="12">
        <f>IF(A29="","",COUNTIFS('📥 Data Source'!$D$5:$D$38201,A29,'📥 Data Source'!$E$5:$E$38201,"Non porteur"))</f>
        <v>0</v>
      </c>
    </row>
    <row r="30" spans="1:6" ht="20" customHeight="1">
      <c r="A30" s="34">
        <f t="array" ref="A30">IFERROR(INDEX('📥 Data Source'!$D$5:$D$38201,MATCH(0,COUNTIF($A$4:A29,'📥 Data Source'!$D$5:$D$38201)+IF('📥 Data Source'!$D$5:$D$38201="",1,0),0)),"")</f>
        <v>0</v>
      </c>
      <c r="B30" s="9">
        <f>IFERROR(IF(A30="","",INDEX('📥 Data Source'!$C$5:$C$38201,MATCH(A30,'📥 Data Source'!$D$5:$D$38201,0))),"")</f>
        <v>0</v>
      </c>
      <c r="C30" s="7">
        <f>IF(A30="","",SUMIF('📥 Data Source'!$D$5:$D$38201,A30,'📥 Data Source'!$F$5:$F$38201))</f>
        <v>0</v>
      </c>
      <c r="D30" s="11">
        <f>IF(A30="","",SUMIF('📥 Data Source'!$D$5:$D$38201,A30,'📥 Data Source'!$G$5:$G$38201))</f>
        <v>0</v>
      </c>
      <c r="E30" s="7">
        <f>IF(A30="","",COUNTIFS('📥 Data Source'!$D$5:$D$38201,A30,'📥 Data Source'!$E$5:$E$38201,"Porteur"))</f>
        <v>0</v>
      </c>
      <c r="F30" s="7">
        <f>IF(A30="","",COUNTIFS('📥 Data Source'!$D$5:$D$38201,A30,'📥 Data Source'!$E$5:$E$38201,"Non porteur"))</f>
        <v>0</v>
      </c>
    </row>
    <row r="31" spans="1:6" ht="20" customHeight="1">
      <c r="A31" s="35">
        <f t="array" ref="A31">IFERROR(INDEX('📥 Data Source'!$D$5:$D$38201,MATCH(0,COUNTIF($A$4:A30,'📥 Data Source'!$D$5:$D$38201)+IF('📥 Data Source'!$D$5:$D$38201="",1,0),0)),"")</f>
        <v>0</v>
      </c>
      <c r="B31" s="14">
        <f>IFERROR(IF(A31="","",INDEX('📥 Data Source'!$C$5:$C$38201,MATCH(A31,'📥 Data Source'!$D$5:$D$38201,0))),"")</f>
        <v>0</v>
      </c>
      <c r="C31" s="12">
        <f>IF(A31="","",SUMIF('📥 Data Source'!$D$5:$D$38201,A31,'📥 Data Source'!$F$5:$F$38201))</f>
        <v>0</v>
      </c>
      <c r="D31" s="16">
        <f>IF(A31="","",SUMIF('📥 Data Source'!$D$5:$D$38201,A31,'📥 Data Source'!$G$5:$G$38201))</f>
        <v>0</v>
      </c>
      <c r="E31" s="12">
        <f>IF(A31="","",COUNTIFS('📥 Data Source'!$D$5:$D$38201,A31,'📥 Data Source'!$E$5:$E$38201,"Porteur"))</f>
        <v>0</v>
      </c>
      <c r="F31" s="12">
        <f>IF(A31="","",COUNTIFS('📥 Data Source'!$D$5:$D$38201,A31,'📥 Data Source'!$E$5:$E$38201,"Non porteur"))</f>
        <v>0</v>
      </c>
    </row>
    <row r="32" spans="1:6" ht="20" customHeight="1">
      <c r="A32" s="34">
        <f t="array" ref="A32">IFERROR(INDEX('📥 Data Source'!$D$5:$D$38201,MATCH(0,COUNTIF($A$4:A31,'📥 Data Source'!$D$5:$D$38201)+IF('📥 Data Source'!$D$5:$D$38201="",1,0),0)),"")</f>
        <v>0</v>
      </c>
      <c r="B32" s="9">
        <f>IFERROR(IF(A32="","",INDEX('📥 Data Source'!$C$5:$C$38201,MATCH(A32,'📥 Data Source'!$D$5:$D$38201,0))),"")</f>
        <v>0</v>
      </c>
      <c r="C32" s="7">
        <f>IF(A32="","",SUMIF('📥 Data Source'!$D$5:$D$38201,A32,'📥 Data Source'!$F$5:$F$38201))</f>
        <v>0</v>
      </c>
      <c r="D32" s="11">
        <f>IF(A32="","",SUMIF('📥 Data Source'!$D$5:$D$38201,A32,'📥 Data Source'!$G$5:$G$38201))</f>
        <v>0</v>
      </c>
      <c r="E32" s="7">
        <f>IF(A32="","",COUNTIFS('📥 Data Source'!$D$5:$D$38201,A32,'📥 Data Source'!$E$5:$E$38201,"Porteur"))</f>
        <v>0</v>
      </c>
      <c r="F32" s="7">
        <f>IF(A32="","",COUNTIFS('📥 Data Source'!$D$5:$D$38201,A32,'📥 Data Source'!$E$5:$E$38201,"Non porteur"))</f>
        <v>0</v>
      </c>
    </row>
    <row r="33" spans="1:6" ht="20" customHeight="1">
      <c r="A33" s="35">
        <f t="array" ref="A33">IFERROR(INDEX('📥 Data Source'!$D$5:$D$38201,MATCH(0,COUNTIF($A$4:A32,'📥 Data Source'!$D$5:$D$38201)+IF('📥 Data Source'!$D$5:$D$38201="",1,0),0)),"")</f>
        <v>0</v>
      </c>
      <c r="B33" s="14">
        <f>IFERROR(IF(A33="","",INDEX('📥 Data Source'!$C$5:$C$38201,MATCH(A33,'📥 Data Source'!$D$5:$D$38201,0))),"")</f>
        <v>0</v>
      </c>
      <c r="C33" s="12">
        <f>IF(A33="","",SUMIF('📥 Data Source'!$D$5:$D$38201,A33,'📥 Data Source'!$F$5:$F$38201))</f>
        <v>0</v>
      </c>
      <c r="D33" s="16">
        <f>IF(A33="","",SUMIF('📥 Data Source'!$D$5:$D$38201,A33,'📥 Data Source'!$G$5:$G$38201))</f>
        <v>0</v>
      </c>
      <c r="E33" s="12">
        <f>IF(A33="","",COUNTIFS('📥 Data Source'!$D$5:$D$38201,A33,'📥 Data Source'!$E$5:$E$38201,"Porteur"))</f>
        <v>0</v>
      </c>
      <c r="F33" s="12">
        <f>IF(A33="","",COUNTIFS('📥 Data Source'!$D$5:$D$38201,A33,'📥 Data Source'!$E$5:$E$38201,"Non porteur"))</f>
        <v>0</v>
      </c>
    </row>
    <row r="34" spans="1:6" ht="20" customHeight="1">
      <c r="A34" s="34">
        <f t="array" ref="A34">IFERROR(INDEX('📥 Data Source'!$D$5:$D$38201,MATCH(0,COUNTIF($A$4:A33,'📥 Data Source'!$D$5:$D$38201)+IF('📥 Data Source'!$D$5:$D$38201="",1,0),0)),"")</f>
        <v>0</v>
      </c>
      <c r="B34" s="9">
        <f>IFERROR(IF(A34="","",INDEX('📥 Data Source'!$C$5:$C$38201,MATCH(A34,'📥 Data Source'!$D$5:$D$38201,0))),"")</f>
        <v>0</v>
      </c>
      <c r="C34" s="7">
        <f>IF(A34="","",SUMIF('📥 Data Source'!$D$5:$D$38201,A34,'📥 Data Source'!$F$5:$F$38201))</f>
        <v>0</v>
      </c>
      <c r="D34" s="11">
        <f>IF(A34="","",SUMIF('📥 Data Source'!$D$5:$D$38201,A34,'📥 Data Source'!$G$5:$G$38201))</f>
        <v>0</v>
      </c>
      <c r="E34" s="7">
        <f>IF(A34="","",COUNTIFS('📥 Data Source'!$D$5:$D$38201,A34,'📥 Data Source'!$E$5:$E$38201,"Porteur"))</f>
        <v>0</v>
      </c>
      <c r="F34" s="7">
        <f>IF(A34="","",COUNTIFS('📥 Data Source'!$D$5:$D$38201,A34,'📥 Data Source'!$E$5:$E$38201,"Non porteur"))</f>
        <v>0</v>
      </c>
    </row>
    <row r="35" spans="1:6" ht="20" customHeight="1">
      <c r="A35" s="35">
        <f t="array" ref="A35">IFERROR(INDEX('📥 Data Source'!$D$5:$D$38201,MATCH(0,COUNTIF($A$4:A34,'📥 Data Source'!$D$5:$D$38201)+IF('📥 Data Source'!$D$5:$D$38201="",1,0),0)),"")</f>
        <v>0</v>
      </c>
      <c r="B35" s="14">
        <f>IFERROR(IF(A35="","",INDEX('📥 Data Source'!$C$5:$C$38201,MATCH(A35,'📥 Data Source'!$D$5:$D$38201,0))),"")</f>
        <v>0</v>
      </c>
      <c r="C35" s="12">
        <f>IF(A35="","",SUMIF('📥 Data Source'!$D$5:$D$38201,A35,'📥 Data Source'!$F$5:$F$38201))</f>
        <v>0</v>
      </c>
      <c r="D35" s="16">
        <f>IF(A35="","",SUMIF('📥 Data Source'!$D$5:$D$38201,A35,'📥 Data Source'!$G$5:$G$38201))</f>
        <v>0</v>
      </c>
      <c r="E35" s="12">
        <f>IF(A35="","",COUNTIFS('📥 Data Source'!$D$5:$D$38201,A35,'📥 Data Source'!$E$5:$E$38201,"Porteur"))</f>
        <v>0</v>
      </c>
      <c r="F35" s="12">
        <f>IF(A35="","",COUNTIFS('📥 Data Source'!$D$5:$D$38201,A35,'📥 Data Source'!$E$5:$E$38201,"Non porteur"))</f>
        <v>0</v>
      </c>
    </row>
    <row r="36" spans="1:6" ht="20" customHeight="1">
      <c r="A36" s="34">
        <f t="array" ref="A36">IFERROR(INDEX('📥 Data Source'!$D$5:$D$38201,MATCH(0,COUNTIF($A$4:A35,'📥 Data Source'!$D$5:$D$38201)+IF('📥 Data Source'!$D$5:$D$38201="",1,0),0)),"")</f>
        <v>0</v>
      </c>
      <c r="B36" s="9">
        <f>IFERROR(IF(A36="","",INDEX('📥 Data Source'!$C$5:$C$38201,MATCH(A36,'📥 Data Source'!$D$5:$D$38201,0))),"")</f>
        <v>0</v>
      </c>
      <c r="C36" s="7">
        <f>IF(A36="","",SUMIF('📥 Data Source'!$D$5:$D$38201,A36,'📥 Data Source'!$F$5:$F$38201))</f>
        <v>0</v>
      </c>
      <c r="D36" s="11">
        <f>IF(A36="","",SUMIF('📥 Data Source'!$D$5:$D$38201,A36,'📥 Data Source'!$G$5:$G$38201))</f>
        <v>0</v>
      </c>
      <c r="E36" s="7">
        <f>IF(A36="","",COUNTIFS('📥 Data Source'!$D$5:$D$38201,A36,'📥 Data Source'!$E$5:$E$38201,"Porteur"))</f>
        <v>0</v>
      </c>
      <c r="F36" s="7">
        <f>IF(A36="","",COUNTIFS('📥 Data Source'!$D$5:$D$38201,A36,'📥 Data Source'!$E$5:$E$38201,"Non porteur"))</f>
        <v>0</v>
      </c>
    </row>
    <row r="37" spans="1:6" ht="20" customHeight="1">
      <c r="A37" s="35">
        <f t="array" ref="A37">IFERROR(INDEX('📥 Data Source'!$D$5:$D$38201,MATCH(0,COUNTIF($A$4:A36,'📥 Data Source'!$D$5:$D$38201)+IF('📥 Data Source'!$D$5:$D$38201="",1,0),0)),"")</f>
        <v>0</v>
      </c>
      <c r="B37" s="14">
        <f>IFERROR(IF(A37="","",INDEX('📥 Data Source'!$C$5:$C$38201,MATCH(A37,'📥 Data Source'!$D$5:$D$38201,0))),"")</f>
        <v>0</v>
      </c>
      <c r="C37" s="12">
        <f>IF(A37="","",SUMIF('📥 Data Source'!$D$5:$D$38201,A37,'📥 Data Source'!$F$5:$F$38201))</f>
        <v>0</v>
      </c>
      <c r="D37" s="16">
        <f>IF(A37="","",SUMIF('📥 Data Source'!$D$5:$D$38201,A37,'📥 Data Source'!$G$5:$G$38201))</f>
        <v>0</v>
      </c>
      <c r="E37" s="12">
        <f>IF(A37="","",COUNTIFS('📥 Data Source'!$D$5:$D$38201,A37,'📥 Data Source'!$E$5:$E$38201,"Porteur"))</f>
        <v>0</v>
      </c>
      <c r="F37" s="12">
        <f>IF(A37="","",COUNTIFS('📥 Data Source'!$D$5:$D$38201,A37,'📥 Data Source'!$E$5:$E$38201,"Non porteur"))</f>
        <v>0</v>
      </c>
    </row>
    <row r="38" spans="1:6" ht="20" customHeight="1">
      <c r="A38" s="34">
        <f t="array" ref="A38">IFERROR(INDEX('📥 Data Source'!$D$5:$D$38201,MATCH(0,COUNTIF($A$4:A37,'📥 Data Source'!$D$5:$D$38201)+IF('📥 Data Source'!$D$5:$D$38201="",1,0),0)),"")</f>
        <v>0</v>
      </c>
      <c r="B38" s="9">
        <f>IFERROR(IF(A38="","",INDEX('📥 Data Source'!$C$5:$C$38201,MATCH(A38,'📥 Data Source'!$D$5:$D$38201,0))),"")</f>
        <v>0</v>
      </c>
      <c r="C38" s="7">
        <f>IF(A38="","",SUMIF('📥 Data Source'!$D$5:$D$38201,A38,'📥 Data Source'!$F$5:$F$38201))</f>
        <v>0</v>
      </c>
      <c r="D38" s="11">
        <f>IF(A38="","",SUMIF('📥 Data Source'!$D$5:$D$38201,A38,'📥 Data Source'!$G$5:$G$38201))</f>
        <v>0</v>
      </c>
      <c r="E38" s="7">
        <f>IF(A38="","",COUNTIFS('📥 Data Source'!$D$5:$D$38201,A38,'📥 Data Source'!$E$5:$E$38201,"Porteur"))</f>
        <v>0</v>
      </c>
      <c r="F38" s="7">
        <f>IF(A38="","",COUNTIFS('📥 Data Source'!$D$5:$D$38201,A38,'📥 Data Source'!$E$5:$E$38201,"Non porteur"))</f>
        <v>0</v>
      </c>
    </row>
    <row r="39" spans="1:6" ht="20" customHeight="1">
      <c r="A39" s="35">
        <f t="array" ref="A39">IFERROR(INDEX('📥 Data Source'!$D$5:$D$38201,MATCH(0,COUNTIF($A$4:A38,'📥 Data Source'!$D$5:$D$38201)+IF('📥 Data Source'!$D$5:$D$38201="",1,0),0)),"")</f>
        <v>0</v>
      </c>
      <c r="B39" s="14">
        <f>IFERROR(IF(A39="","",INDEX('📥 Data Source'!$C$5:$C$38201,MATCH(A39,'📥 Data Source'!$D$5:$D$38201,0))),"")</f>
        <v>0</v>
      </c>
      <c r="C39" s="12">
        <f>IF(A39="","",SUMIF('📥 Data Source'!$D$5:$D$38201,A39,'📥 Data Source'!$F$5:$F$38201))</f>
        <v>0</v>
      </c>
      <c r="D39" s="16">
        <f>IF(A39="","",SUMIF('📥 Data Source'!$D$5:$D$38201,A39,'📥 Data Source'!$G$5:$G$38201))</f>
        <v>0</v>
      </c>
      <c r="E39" s="12">
        <f>IF(A39="","",COUNTIFS('📥 Data Source'!$D$5:$D$38201,A39,'📥 Data Source'!$E$5:$E$38201,"Porteur"))</f>
        <v>0</v>
      </c>
      <c r="F39" s="12">
        <f>IF(A39="","",COUNTIFS('📥 Data Source'!$D$5:$D$38201,A39,'📥 Data Source'!$E$5:$E$38201,"Non porteur"))</f>
        <v>0</v>
      </c>
    </row>
    <row r="40" spans="1:6" ht="20" customHeight="1">
      <c r="A40" s="34">
        <f t="array" ref="A40">IFERROR(INDEX('📥 Data Source'!$D$5:$D$38201,MATCH(0,COUNTIF($A$4:A39,'📥 Data Source'!$D$5:$D$38201)+IF('📥 Data Source'!$D$5:$D$38201="",1,0),0)),"")</f>
        <v>0</v>
      </c>
      <c r="B40" s="9">
        <f>IFERROR(IF(A40="","",INDEX('📥 Data Source'!$C$5:$C$38201,MATCH(A40,'📥 Data Source'!$D$5:$D$38201,0))),"")</f>
        <v>0</v>
      </c>
      <c r="C40" s="7">
        <f>IF(A40="","",SUMIF('📥 Data Source'!$D$5:$D$38201,A40,'📥 Data Source'!$F$5:$F$38201))</f>
        <v>0</v>
      </c>
      <c r="D40" s="11">
        <f>IF(A40="","",SUMIF('📥 Data Source'!$D$5:$D$38201,A40,'📥 Data Source'!$G$5:$G$38201))</f>
        <v>0</v>
      </c>
      <c r="E40" s="7">
        <f>IF(A40="","",COUNTIFS('📥 Data Source'!$D$5:$D$38201,A40,'📥 Data Source'!$E$5:$E$38201,"Porteur"))</f>
        <v>0</v>
      </c>
      <c r="F40" s="7">
        <f>IF(A40="","",COUNTIFS('📥 Data Source'!$D$5:$D$38201,A40,'📥 Data Source'!$E$5:$E$38201,"Non porteur"))</f>
        <v>0</v>
      </c>
    </row>
    <row r="41" spans="1:6" ht="20" customHeight="1">
      <c r="A41" s="35">
        <f t="array" ref="A41">IFERROR(INDEX('📥 Data Source'!$D$5:$D$38201,MATCH(0,COUNTIF($A$4:A40,'📥 Data Source'!$D$5:$D$38201)+IF('📥 Data Source'!$D$5:$D$38201="",1,0),0)),"")</f>
        <v>0</v>
      </c>
      <c r="B41" s="14">
        <f>IFERROR(IF(A41="","",INDEX('📥 Data Source'!$C$5:$C$38201,MATCH(A41,'📥 Data Source'!$D$5:$D$38201,0))),"")</f>
        <v>0</v>
      </c>
      <c r="C41" s="12">
        <f>IF(A41="","",SUMIF('📥 Data Source'!$D$5:$D$38201,A41,'📥 Data Source'!$F$5:$F$38201))</f>
        <v>0</v>
      </c>
      <c r="D41" s="16">
        <f>IF(A41="","",SUMIF('📥 Data Source'!$D$5:$D$38201,A41,'📥 Data Source'!$G$5:$G$38201))</f>
        <v>0</v>
      </c>
      <c r="E41" s="12">
        <f>IF(A41="","",COUNTIFS('📥 Data Source'!$D$5:$D$38201,A41,'📥 Data Source'!$E$5:$E$38201,"Porteur"))</f>
        <v>0</v>
      </c>
      <c r="F41" s="12">
        <f>IF(A41="","",COUNTIFS('📥 Data Source'!$D$5:$D$38201,A41,'📥 Data Source'!$E$5:$E$38201,"Non porteur"))</f>
        <v>0</v>
      </c>
    </row>
    <row r="42" spans="1:6" ht="20" customHeight="1">
      <c r="A42" s="34">
        <f t="array" ref="A42">IFERROR(INDEX('📥 Data Source'!$D$5:$D$38201,MATCH(0,COUNTIF($A$4:A41,'📥 Data Source'!$D$5:$D$38201)+IF('📥 Data Source'!$D$5:$D$38201="",1,0),0)),"")</f>
        <v>0</v>
      </c>
      <c r="B42" s="9">
        <f>IFERROR(IF(A42="","",INDEX('📥 Data Source'!$C$5:$C$38201,MATCH(A42,'📥 Data Source'!$D$5:$D$38201,0))),"")</f>
        <v>0</v>
      </c>
      <c r="C42" s="7">
        <f>IF(A42="","",SUMIF('📥 Data Source'!$D$5:$D$38201,A42,'📥 Data Source'!$F$5:$F$38201))</f>
        <v>0</v>
      </c>
      <c r="D42" s="11">
        <f>IF(A42="","",SUMIF('📥 Data Source'!$D$5:$D$38201,A42,'📥 Data Source'!$G$5:$G$38201))</f>
        <v>0</v>
      </c>
      <c r="E42" s="7">
        <f>IF(A42="","",COUNTIFS('📥 Data Source'!$D$5:$D$38201,A42,'📥 Data Source'!$E$5:$E$38201,"Porteur"))</f>
        <v>0</v>
      </c>
      <c r="F42" s="7">
        <f>IF(A42="","",COUNTIFS('📥 Data Source'!$D$5:$D$38201,A42,'📥 Data Source'!$E$5:$E$38201,"Non porteur"))</f>
        <v>0</v>
      </c>
    </row>
    <row r="43" spans="1:6" ht="20" customHeight="1">
      <c r="A43" s="35">
        <f t="array" ref="A43">IFERROR(INDEX('📥 Data Source'!$D$5:$D$38201,MATCH(0,COUNTIF($A$4:A42,'📥 Data Source'!$D$5:$D$38201)+IF('📥 Data Source'!$D$5:$D$38201="",1,0),0)),"")</f>
        <v>0</v>
      </c>
      <c r="B43" s="14">
        <f>IFERROR(IF(A43="","",INDEX('📥 Data Source'!$C$5:$C$38201,MATCH(A43,'📥 Data Source'!$D$5:$D$38201,0))),"")</f>
        <v>0</v>
      </c>
      <c r="C43" s="12">
        <f>IF(A43="","",SUMIF('📥 Data Source'!$D$5:$D$38201,A43,'📥 Data Source'!$F$5:$F$38201))</f>
        <v>0</v>
      </c>
      <c r="D43" s="16">
        <f>IF(A43="","",SUMIF('📥 Data Source'!$D$5:$D$38201,A43,'📥 Data Source'!$G$5:$G$38201))</f>
        <v>0</v>
      </c>
      <c r="E43" s="12">
        <f>IF(A43="","",COUNTIFS('📥 Data Source'!$D$5:$D$38201,A43,'📥 Data Source'!$E$5:$E$38201,"Porteur"))</f>
        <v>0</v>
      </c>
      <c r="F43" s="12">
        <f>IF(A43="","",COUNTIFS('📥 Data Source'!$D$5:$D$38201,A43,'📥 Data Source'!$E$5:$E$38201,"Non porteur"))</f>
        <v>0</v>
      </c>
    </row>
    <row r="44" spans="1:6" ht="20" customHeight="1">
      <c r="A44" s="34">
        <f t="array" ref="A44">IFERROR(INDEX('📥 Data Source'!$D$5:$D$38201,MATCH(0,COUNTIF($A$4:A43,'📥 Data Source'!$D$5:$D$38201)+IF('📥 Data Source'!$D$5:$D$38201="",1,0),0)),"")</f>
        <v>0</v>
      </c>
      <c r="B44" s="9">
        <f>IFERROR(IF(A44="","",INDEX('📥 Data Source'!$C$5:$C$38201,MATCH(A44,'📥 Data Source'!$D$5:$D$38201,0))),"")</f>
        <v>0</v>
      </c>
      <c r="C44" s="7">
        <f>IF(A44="","",SUMIF('📥 Data Source'!$D$5:$D$38201,A44,'📥 Data Source'!$F$5:$F$38201))</f>
        <v>0</v>
      </c>
      <c r="D44" s="11">
        <f>IF(A44="","",SUMIF('📥 Data Source'!$D$5:$D$38201,A44,'📥 Data Source'!$G$5:$G$38201))</f>
        <v>0</v>
      </c>
      <c r="E44" s="7">
        <f>IF(A44="","",COUNTIFS('📥 Data Source'!$D$5:$D$38201,A44,'📥 Data Source'!$E$5:$E$38201,"Porteur"))</f>
        <v>0</v>
      </c>
      <c r="F44" s="7">
        <f>IF(A44="","",COUNTIFS('📥 Data Source'!$D$5:$D$38201,A44,'📥 Data Source'!$E$5:$E$38201,"Non porteur"))</f>
        <v>0</v>
      </c>
    </row>
    <row r="45" spans="1:6" ht="20" customHeight="1">
      <c r="A45" s="35">
        <f t="array" ref="A45">IFERROR(INDEX('📥 Data Source'!$D$5:$D$38201,MATCH(0,COUNTIF($A$4:A44,'📥 Data Source'!$D$5:$D$38201)+IF('📥 Data Source'!$D$5:$D$38201="",1,0),0)),"")</f>
        <v>0</v>
      </c>
      <c r="B45" s="14">
        <f>IFERROR(IF(A45="","",INDEX('📥 Data Source'!$C$5:$C$38201,MATCH(A45,'📥 Data Source'!$D$5:$D$38201,0))),"")</f>
        <v>0</v>
      </c>
      <c r="C45" s="12">
        <f>IF(A45="","",SUMIF('📥 Data Source'!$D$5:$D$38201,A45,'📥 Data Source'!$F$5:$F$38201))</f>
        <v>0</v>
      </c>
      <c r="D45" s="16">
        <f>IF(A45="","",SUMIF('📥 Data Source'!$D$5:$D$38201,A45,'📥 Data Source'!$G$5:$G$38201))</f>
        <v>0</v>
      </c>
      <c r="E45" s="12">
        <f>IF(A45="","",COUNTIFS('📥 Data Source'!$D$5:$D$38201,A45,'📥 Data Source'!$E$5:$E$38201,"Porteur"))</f>
        <v>0</v>
      </c>
      <c r="F45" s="12">
        <f>IF(A45="","",COUNTIFS('📥 Data Source'!$D$5:$D$38201,A45,'📥 Data Source'!$E$5:$E$38201,"Non porteur"))</f>
        <v>0</v>
      </c>
    </row>
    <row r="46" spans="1:6" ht="20" customHeight="1">
      <c r="A46" s="34">
        <f t="array" ref="A46">IFERROR(INDEX('📥 Data Source'!$D$5:$D$38201,MATCH(0,COUNTIF($A$4:A45,'📥 Data Source'!$D$5:$D$38201)+IF('📥 Data Source'!$D$5:$D$38201="",1,0),0)),"")</f>
        <v>0</v>
      </c>
      <c r="B46" s="9">
        <f>IFERROR(IF(A46="","",INDEX('📥 Data Source'!$C$5:$C$38201,MATCH(A46,'📥 Data Source'!$D$5:$D$38201,0))),"")</f>
        <v>0</v>
      </c>
      <c r="C46" s="7">
        <f>IF(A46="","",SUMIF('📥 Data Source'!$D$5:$D$38201,A46,'📥 Data Source'!$F$5:$F$38201))</f>
        <v>0</v>
      </c>
      <c r="D46" s="11">
        <f>IF(A46="","",SUMIF('📥 Data Source'!$D$5:$D$38201,A46,'📥 Data Source'!$G$5:$G$38201))</f>
        <v>0</v>
      </c>
      <c r="E46" s="7">
        <f>IF(A46="","",COUNTIFS('📥 Data Source'!$D$5:$D$38201,A46,'📥 Data Source'!$E$5:$E$38201,"Porteur"))</f>
        <v>0</v>
      </c>
      <c r="F46" s="7">
        <f>IF(A46="","",COUNTIFS('📥 Data Source'!$D$5:$D$38201,A46,'📥 Data Source'!$E$5:$E$38201,"Non porteur"))</f>
        <v>0</v>
      </c>
    </row>
    <row r="47" spans="1:6" ht="20" customHeight="1">
      <c r="A47" s="35">
        <f t="array" ref="A47">IFERROR(INDEX('📥 Data Source'!$D$5:$D$38201,MATCH(0,COUNTIF($A$4:A46,'📥 Data Source'!$D$5:$D$38201)+IF('📥 Data Source'!$D$5:$D$38201="",1,0),0)),"")</f>
        <v>0</v>
      </c>
      <c r="B47" s="14">
        <f>IFERROR(IF(A47="","",INDEX('📥 Data Source'!$C$5:$C$38201,MATCH(A47,'📥 Data Source'!$D$5:$D$38201,0))),"")</f>
        <v>0</v>
      </c>
      <c r="C47" s="12">
        <f>IF(A47="","",SUMIF('📥 Data Source'!$D$5:$D$38201,A47,'📥 Data Source'!$F$5:$F$38201))</f>
        <v>0</v>
      </c>
      <c r="D47" s="16">
        <f>IF(A47="","",SUMIF('📥 Data Source'!$D$5:$D$38201,A47,'📥 Data Source'!$G$5:$G$38201))</f>
        <v>0</v>
      </c>
      <c r="E47" s="12">
        <f>IF(A47="","",COUNTIFS('📥 Data Source'!$D$5:$D$38201,A47,'📥 Data Source'!$E$5:$E$38201,"Porteur"))</f>
        <v>0</v>
      </c>
      <c r="F47" s="12">
        <f>IF(A47="","",COUNTIFS('📥 Data Source'!$D$5:$D$38201,A47,'📥 Data Source'!$E$5:$E$38201,"Non porteur"))</f>
        <v>0</v>
      </c>
    </row>
    <row r="48" spans="1:6" ht="20" customHeight="1">
      <c r="A48" s="34">
        <f t="array" ref="A48">IFERROR(INDEX('📥 Data Source'!$D$5:$D$38201,MATCH(0,COUNTIF($A$4:A47,'📥 Data Source'!$D$5:$D$38201)+IF('📥 Data Source'!$D$5:$D$38201="",1,0),0)),"")</f>
        <v>0</v>
      </c>
      <c r="B48" s="9">
        <f>IFERROR(IF(A48="","",INDEX('📥 Data Source'!$C$5:$C$38201,MATCH(A48,'📥 Data Source'!$D$5:$D$38201,0))),"")</f>
        <v>0</v>
      </c>
      <c r="C48" s="7">
        <f>IF(A48="","",SUMIF('📥 Data Source'!$D$5:$D$38201,A48,'📥 Data Source'!$F$5:$F$38201))</f>
        <v>0</v>
      </c>
      <c r="D48" s="11">
        <f>IF(A48="","",SUMIF('📥 Data Source'!$D$5:$D$38201,A48,'📥 Data Source'!$G$5:$G$38201))</f>
        <v>0</v>
      </c>
      <c r="E48" s="7">
        <f>IF(A48="","",COUNTIFS('📥 Data Source'!$D$5:$D$38201,A48,'📥 Data Source'!$E$5:$E$38201,"Porteur"))</f>
        <v>0</v>
      </c>
      <c r="F48" s="7">
        <f>IF(A48="","",COUNTIFS('📥 Data Source'!$D$5:$D$38201,A48,'📥 Data Source'!$E$5:$E$38201,"Non porteur"))</f>
        <v>0</v>
      </c>
    </row>
    <row r="49" spans="1:6" ht="20" customHeight="1">
      <c r="A49" s="35">
        <f t="array" ref="A49">IFERROR(INDEX('📥 Data Source'!$D$5:$D$38201,MATCH(0,COUNTIF($A$4:A48,'📥 Data Source'!$D$5:$D$38201)+IF('📥 Data Source'!$D$5:$D$38201="",1,0),0)),"")</f>
        <v>0</v>
      </c>
      <c r="B49" s="14">
        <f>IFERROR(IF(A49="","",INDEX('📥 Data Source'!$C$5:$C$38201,MATCH(A49,'📥 Data Source'!$D$5:$D$38201,0))),"")</f>
        <v>0</v>
      </c>
      <c r="C49" s="12">
        <f>IF(A49="","",SUMIF('📥 Data Source'!$D$5:$D$38201,A49,'📥 Data Source'!$F$5:$F$38201))</f>
        <v>0</v>
      </c>
      <c r="D49" s="16">
        <f>IF(A49="","",SUMIF('📥 Data Source'!$D$5:$D$38201,A49,'📥 Data Source'!$G$5:$G$38201))</f>
        <v>0</v>
      </c>
      <c r="E49" s="12">
        <f>IF(A49="","",COUNTIFS('📥 Data Source'!$D$5:$D$38201,A49,'📥 Data Source'!$E$5:$E$38201,"Porteur"))</f>
        <v>0</v>
      </c>
      <c r="F49" s="12">
        <f>IF(A49="","",COUNTIFS('📥 Data Source'!$D$5:$D$38201,A49,'📥 Data Source'!$E$5:$E$38201,"Non porteur"))</f>
        <v>0</v>
      </c>
    </row>
    <row r="50" spans="1:6" ht="20" customHeight="1">
      <c r="A50" s="34">
        <f t="array" ref="A50">IFERROR(INDEX('📥 Data Source'!$D$5:$D$38201,MATCH(0,COUNTIF($A$4:A49,'📥 Data Source'!$D$5:$D$38201)+IF('📥 Data Source'!$D$5:$D$38201="",1,0),0)),"")</f>
        <v>0</v>
      </c>
      <c r="B50" s="9">
        <f>IFERROR(IF(A50="","",INDEX('📥 Data Source'!$C$5:$C$38201,MATCH(A50,'📥 Data Source'!$D$5:$D$38201,0))),"")</f>
        <v>0</v>
      </c>
      <c r="C50" s="7">
        <f>IF(A50="","",SUMIF('📥 Data Source'!$D$5:$D$38201,A50,'📥 Data Source'!$F$5:$F$38201))</f>
        <v>0</v>
      </c>
      <c r="D50" s="11">
        <f>IF(A50="","",SUMIF('📥 Data Source'!$D$5:$D$38201,A50,'📥 Data Source'!$G$5:$G$38201))</f>
        <v>0</v>
      </c>
      <c r="E50" s="7">
        <f>IF(A50="","",COUNTIFS('📥 Data Source'!$D$5:$D$38201,A50,'📥 Data Source'!$E$5:$E$38201,"Porteur"))</f>
        <v>0</v>
      </c>
      <c r="F50" s="7">
        <f>IF(A50="","",COUNTIFS('📥 Data Source'!$D$5:$D$38201,A50,'📥 Data Source'!$E$5:$E$38201,"Non porteur"))</f>
        <v>0</v>
      </c>
    </row>
    <row r="51" spans="1:6" ht="20" customHeight="1">
      <c r="A51" s="35">
        <f t="array" ref="A51">IFERROR(INDEX('📥 Data Source'!$D$5:$D$38201,MATCH(0,COUNTIF($A$4:A50,'📥 Data Source'!$D$5:$D$38201)+IF('📥 Data Source'!$D$5:$D$38201="",1,0),0)),"")</f>
        <v>0</v>
      </c>
      <c r="B51" s="14">
        <f>IFERROR(IF(A51="","",INDEX('📥 Data Source'!$C$5:$C$38201,MATCH(A51,'📥 Data Source'!$D$5:$D$38201,0))),"")</f>
        <v>0</v>
      </c>
      <c r="C51" s="12">
        <f>IF(A51="","",SUMIF('📥 Data Source'!$D$5:$D$38201,A51,'📥 Data Source'!$F$5:$F$38201))</f>
        <v>0</v>
      </c>
      <c r="D51" s="16">
        <f>IF(A51="","",SUMIF('📥 Data Source'!$D$5:$D$38201,A51,'📥 Data Source'!$G$5:$G$38201))</f>
        <v>0</v>
      </c>
      <c r="E51" s="12">
        <f>IF(A51="","",COUNTIFS('📥 Data Source'!$D$5:$D$38201,A51,'📥 Data Source'!$E$5:$E$38201,"Porteur"))</f>
        <v>0</v>
      </c>
      <c r="F51" s="12">
        <f>IF(A51="","",COUNTIFS('📥 Data Source'!$D$5:$D$38201,A51,'📥 Data Source'!$E$5:$E$38201,"Non porteur"))</f>
        <v>0</v>
      </c>
    </row>
    <row r="52" spans="1:6" ht="20" customHeight="1">
      <c r="A52" s="34">
        <f t="array" ref="A52">IFERROR(INDEX('📥 Data Source'!$D$5:$D$38201,MATCH(0,COUNTIF($A$4:A51,'📥 Data Source'!$D$5:$D$38201)+IF('📥 Data Source'!$D$5:$D$38201="",1,0),0)),"")</f>
        <v>0</v>
      </c>
      <c r="B52" s="9">
        <f>IFERROR(IF(A52="","",INDEX('📥 Data Source'!$C$5:$C$38201,MATCH(A52,'📥 Data Source'!$D$5:$D$38201,0))),"")</f>
        <v>0</v>
      </c>
      <c r="C52" s="7">
        <f>IF(A52="","",SUMIF('📥 Data Source'!$D$5:$D$38201,A52,'📥 Data Source'!$F$5:$F$38201))</f>
        <v>0</v>
      </c>
      <c r="D52" s="11">
        <f>IF(A52="","",SUMIF('📥 Data Source'!$D$5:$D$38201,A52,'📥 Data Source'!$G$5:$G$38201))</f>
        <v>0</v>
      </c>
      <c r="E52" s="7">
        <f>IF(A52="","",COUNTIFS('📥 Data Source'!$D$5:$D$38201,A52,'📥 Data Source'!$E$5:$E$38201,"Porteur"))</f>
        <v>0</v>
      </c>
      <c r="F52" s="7">
        <f>IF(A52="","",COUNTIFS('📥 Data Source'!$D$5:$D$38201,A52,'📥 Data Source'!$E$5:$E$38201,"Non porteur"))</f>
        <v>0</v>
      </c>
    </row>
    <row r="53" spans="1:6" ht="20" customHeight="1">
      <c r="A53" s="35">
        <f t="array" ref="A53">IFERROR(INDEX('📥 Data Source'!$D$5:$D$38201,MATCH(0,COUNTIF($A$4:A52,'📥 Data Source'!$D$5:$D$38201)+IF('📥 Data Source'!$D$5:$D$38201="",1,0),0)),"")</f>
        <v>0</v>
      </c>
      <c r="B53" s="14">
        <f>IFERROR(IF(A53="","",INDEX('📥 Data Source'!$C$5:$C$38201,MATCH(A53,'📥 Data Source'!$D$5:$D$38201,0))),"")</f>
        <v>0</v>
      </c>
      <c r="C53" s="12">
        <f>IF(A53="","",SUMIF('📥 Data Source'!$D$5:$D$38201,A53,'📥 Data Source'!$F$5:$F$38201))</f>
        <v>0</v>
      </c>
      <c r="D53" s="16">
        <f>IF(A53="","",SUMIF('📥 Data Source'!$D$5:$D$38201,A53,'📥 Data Source'!$G$5:$G$38201))</f>
        <v>0</v>
      </c>
      <c r="E53" s="12">
        <f>IF(A53="","",COUNTIFS('📥 Data Source'!$D$5:$D$38201,A53,'📥 Data Source'!$E$5:$E$38201,"Porteur"))</f>
        <v>0</v>
      </c>
      <c r="F53" s="12">
        <f>IF(A53="","",COUNTIFS('📥 Data Source'!$D$5:$D$38201,A53,'📥 Data Source'!$E$5:$E$38201,"Non porteur"))</f>
        <v>0</v>
      </c>
    </row>
    <row r="54" spans="1:6" ht="20" customHeight="1">
      <c r="A54" s="34">
        <f t="array" ref="A54">IFERROR(INDEX('📥 Data Source'!$D$5:$D$38201,MATCH(0,COUNTIF($A$4:A53,'📥 Data Source'!$D$5:$D$38201)+IF('📥 Data Source'!$D$5:$D$38201="",1,0),0)),"")</f>
        <v>0</v>
      </c>
      <c r="B54" s="9">
        <f>IFERROR(IF(A54="","",INDEX('📥 Data Source'!$C$5:$C$38201,MATCH(A54,'📥 Data Source'!$D$5:$D$38201,0))),"")</f>
        <v>0</v>
      </c>
      <c r="C54" s="7">
        <f>IF(A54="","",SUMIF('📥 Data Source'!$D$5:$D$38201,A54,'📥 Data Source'!$F$5:$F$38201))</f>
        <v>0</v>
      </c>
      <c r="D54" s="11">
        <f>IF(A54="","",SUMIF('📥 Data Source'!$D$5:$D$38201,A54,'📥 Data Source'!$G$5:$G$38201))</f>
        <v>0</v>
      </c>
      <c r="E54" s="7">
        <f>IF(A54="","",COUNTIFS('📥 Data Source'!$D$5:$D$38201,A54,'📥 Data Source'!$E$5:$E$38201,"Porteur"))</f>
        <v>0</v>
      </c>
      <c r="F54" s="7">
        <f>IF(A54="","",COUNTIFS('📥 Data Source'!$D$5:$D$38201,A54,'📥 Data Source'!$E$5:$E$38201,"Non porteur"))</f>
        <v>0</v>
      </c>
    </row>
    <row r="55" spans="1:6" ht="20" customHeight="1">
      <c r="A55" s="35">
        <f t="array" ref="A55">IFERROR(INDEX('📥 Data Source'!$D$5:$D$38201,MATCH(0,COUNTIF($A$4:A54,'📥 Data Source'!$D$5:$D$38201)+IF('📥 Data Source'!$D$5:$D$38201="",1,0),0)),"")</f>
        <v>0</v>
      </c>
      <c r="B55" s="14">
        <f>IFERROR(IF(A55="","",INDEX('📥 Data Source'!$C$5:$C$38201,MATCH(A55,'📥 Data Source'!$D$5:$D$38201,0))),"")</f>
        <v>0</v>
      </c>
      <c r="C55" s="12">
        <f>IF(A55="","",SUMIF('📥 Data Source'!$D$5:$D$38201,A55,'📥 Data Source'!$F$5:$F$38201))</f>
        <v>0</v>
      </c>
      <c r="D55" s="16">
        <f>IF(A55="","",SUMIF('📥 Data Source'!$D$5:$D$38201,A55,'📥 Data Source'!$G$5:$G$38201))</f>
        <v>0</v>
      </c>
      <c r="E55" s="12">
        <f>IF(A55="","",COUNTIFS('📥 Data Source'!$D$5:$D$38201,A55,'📥 Data Source'!$E$5:$E$38201,"Porteur"))</f>
        <v>0</v>
      </c>
      <c r="F55" s="12">
        <f>IF(A55="","",COUNTIFS('📥 Data Source'!$D$5:$D$38201,A55,'📥 Data Source'!$E$5:$E$38201,"Non porteur"))</f>
        <v>0</v>
      </c>
    </row>
    <row r="56" spans="1:6" ht="26" customHeight="1">
      <c r="A56" s="36" t="s">
        <v>44</v>
      </c>
      <c r="B56" s="36"/>
      <c r="C56" s="36">
        <f>SUM(C6:C55)</f>
        <v>0</v>
      </c>
      <c r="D56" s="37">
        <f>SUM(D6:D55)</f>
        <v>0</v>
      </c>
      <c r="E56" s="36">
        <f>SUM(E6:E55)</f>
        <v>0</v>
      </c>
      <c r="F56" s="36">
        <f>SUM(F6:F55)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D4AC0D"/>
  </sheetPr>
  <dimension ref="A1:E9"/>
  <sheetViews>
    <sheetView showGridLines="0" workbookViewId="0"/>
  </sheetViews>
  <sheetFormatPr defaultRowHeight="15"/>
  <cols>
    <col min="1" max="1" width="28.7109375" customWidth="1"/>
    <col min="2" max="5" width="18.7109375" customWidth="1"/>
  </cols>
  <sheetData>
    <row r="1" spans="1:5" ht="42" customHeight="1">
      <c r="A1" s="1" t="s">
        <v>49</v>
      </c>
      <c r="B1" s="2"/>
      <c r="C1" s="2"/>
      <c r="D1" s="2"/>
      <c r="E1" s="2"/>
    </row>
    <row r="2" spans="1:5" ht="18" customHeight="1">
      <c r="A2" s="3" t="s">
        <v>30</v>
      </c>
      <c r="B2" s="4"/>
      <c r="C2" s="4"/>
      <c r="D2" s="4"/>
      <c r="E2" s="4"/>
    </row>
    <row r="3" spans="1:5" ht="6" customHeight="1">
      <c r="A3" s="5"/>
      <c r="B3" s="5"/>
      <c r="C3" s="5"/>
      <c r="D3" s="5"/>
      <c r="E3" s="5"/>
    </row>
    <row r="4" spans="1:5" ht="26" customHeight="1">
      <c r="A4" s="20" t="s">
        <v>50</v>
      </c>
      <c r="B4" s="21"/>
      <c r="C4" s="21"/>
      <c r="D4" s="21"/>
      <c r="E4" s="21"/>
    </row>
    <row r="5" spans="1:5" ht="28" customHeight="1">
      <c r="A5" s="6" t="s">
        <v>51</v>
      </c>
      <c r="B5" s="6" t="s">
        <v>52</v>
      </c>
      <c r="C5" s="6" t="s">
        <v>53</v>
      </c>
      <c r="D5" s="6" t="s">
        <v>44</v>
      </c>
      <c r="E5" s="6" t="s">
        <v>54</v>
      </c>
    </row>
    <row r="6" spans="1:5" ht="24" customHeight="1">
      <c r="A6" s="38" t="s">
        <v>55</v>
      </c>
      <c r="B6" s="39">
        <f>COUNTIF('📥 Data Source'!E5:E38201,"Porteur")</f>
        <v>0</v>
      </c>
      <c r="C6" s="40">
        <f>COUNTIF('📥 Data Source'!E5:E38201,"Non porteur")</f>
        <v>0</v>
      </c>
      <c r="D6" s="41">
        <f>B6+C6</f>
        <v>0</v>
      </c>
      <c r="E6" s="42">
        <f>IFERROR(B6/D6,0)</f>
        <v>0</v>
      </c>
    </row>
    <row r="7" spans="1:5" ht="24" customHeight="1">
      <c r="A7" s="38" t="s">
        <v>56</v>
      </c>
      <c r="B7" s="39">
        <f>SUMIF('📥 Data Source'!E5:E38201,"Porteur",'📥 Data Source'!F5:F38201)</f>
        <v>0</v>
      </c>
      <c r="C7" s="40">
        <f>SUMIF('📥 Data Source'!E5:E38201,"Non porteur",'📥 Data Source'!F5:F38201)</f>
        <v>0</v>
      </c>
      <c r="D7" s="41">
        <f>B7+C7</f>
        <v>0</v>
      </c>
      <c r="E7" s="42">
        <f>IFERROR(B7/D7,0)</f>
        <v>0</v>
      </c>
    </row>
    <row r="8" spans="1:5" ht="24" customHeight="1">
      <c r="A8" s="38" t="s">
        <v>57</v>
      </c>
      <c r="B8" s="43">
        <f>SUMIF('📥 Data Source'!E5:E38201,"Porteur",'📥 Data Source'!G5:G38201)</f>
        <v>0</v>
      </c>
      <c r="C8" s="44">
        <f>SUMIF('📥 Data Source'!E5:E38201,"Non porteur",'📥 Data Source'!G5:G38201)</f>
        <v>0</v>
      </c>
      <c r="D8" s="45">
        <f>B8+C8</f>
        <v>0</v>
      </c>
      <c r="E8" s="42">
        <f>IFERROR(B8/D8,0)</f>
        <v>0</v>
      </c>
    </row>
    <row r="9" spans="1:5" ht="24" customHeight="1">
      <c r="A9" s="38" t="s">
        <v>58</v>
      </c>
      <c r="B9" s="43">
        <f>IFERROR(B8/B7,0)</f>
        <v>0</v>
      </c>
      <c r="C9" s="44">
        <f>IFERROR(C8/C7,0)</f>
        <v>0</v>
      </c>
      <c r="D9" s="45">
        <f>IFERROR(D8/D7,0)</f>
        <v>0</v>
      </c>
      <c r="E9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C0392B"/>
  </sheetPr>
  <dimension ref="A1:Y61"/>
  <sheetViews>
    <sheetView showGridLines="0" workbookViewId="0"/>
  </sheetViews>
  <sheetFormatPr defaultRowHeight="15"/>
  <cols>
    <col min="1" max="16" width="10.7109375" customWidth="1"/>
    <col min="18" max="22" width="16.7109375" customWidth="1"/>
    <col min="24" max="25" width="16.7109375" customWidth="1"/>
  </cols>
  <sheetData>
    <row r="1" spans="1:25" ht="42" customHeight="1">
      <c r="A1" s="46" t="s">
        <v>59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R1" s="48" t="s">
        <v>64</v>
      </c>
      <c r="S1" s="48" t="s">
        <v>65</v>
      </c>
      <c r="U1" s="48" t="s">
        <v>66</v>
      </c>
      <c r="V1" s="48" t="s">
        <v>65</v>
      </c>
      <c r="X1" s="48" t="s">
        <v>67</v>
      </c>
      <c r="Y1" s="48" t="s">
        <v>8</v>
      </c>
    </row>
    <row r="2" spans="1:25" ht="18" customHeight="1">
      <c r="A2" s="3" t="s">
        <v>60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R2" s="49">
        <f>'📊 Par Automate'!A10</f>
        <v>0</v>
      </c>
      <c r="S2" s="49">
        <f>'📊 Par Automate'!C10</f>
        <v>0</v>
      </c>
      <c r="U2" s="12" t="s">
        <v>14</v>
      </c>
      <c r="V2" s="12">
        <f>'👥 Porteur vs Non Porteur'!B7</f>
        <v>0</v>
      </c>
      <c r="X2" s="49">
        <f t="array" ref="X2">IFERROR(INDEX('📥 Data Source'!$A$5:$A$38201,MATCH(0,COUNTIF($X$1:X1,'📥 Data Source'!$A$5:$A$38201)+IF('📥 Data Source'!$A$5:$A$38201="",1,0),0)),"")</f>
        <v>0</v>
      </c>
      <c r="Y2" s="49">
        <f>IF(X2="","",SUMIF('📥 Data Source'!$A$5:$A$38201,X2,'📥 Data Source'!$G$5:$G$38201))</f>
        <v>0</v>
      </c>
    </row>
    <row r="3" spans="1:25" ht="6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R3" s="49">
        <f>'📊 Par Automate'!A11</f>
        <v>0</v>
      </c>
      <c r="S3" s="49">
        <f>'📊 Par Automate'!C11</f>
        <v>0</v>
      </c>
      <c r="U3" s="12" t="s">
        <v>18</v>
      </c>
      <c r="V3" s="12">
        <f>'👥 Porteur vs Non Porteur'!C7</f>
        <v>0</v>
      </c>
      <c r="X3" s="49">
        <f t="array" ref="X3">IFERROR(INDEX('📥 Data Source'!$A$5:$A$38201,MATCH(0,COUNTIF($X$1:X2,'📥 Data Source'!$A$5:$A$38201)+IF('📥 Data Source'!$A$5:$A$38201="",1,0),0)),"")</f>
        <v>0</v>
      </c>
      <c r="Y3" s="49">
        <f>IF(X3="","",SUMIF('📥 Data Source'!$A$5:$A$38201,X3,'📥 Data Source'!$G$5:$G$38201))</f>
        <v>0</v>
      </c>
    </row>
    <row r="4" spans="1:25" ht="26" customHeight="1">
      <c r="A4" s="25" t="s">
        <v>61</v>
      </c>
      <c r="B4" s="19"/>
      <c r="C4" s="19"/>
      <c r="D4" s="19"/>
      <c r="E4" s="19"/>
      <c r="F4" s="19"/>
      <c r="G4" s="19"/>
      <c r="H4" s="19"/>
      <c r="I4" s="32" t="s">
        <v>62</v>
      </c>
      <c r="J4" s="29"/>
      <c r="K4" s="29"/>
      <c r="L4" s="29"/>
      <c r="M4" s="29"/>
      <c r="N4" s="29"/>
      <c r="O4" s="29"/>
      <c r="P4" s="29"/>
      <c r="R4" s="49">
        <f>'📊 Par Automate'!A12</f>
        <v>0</v>
      </c>
      <c r="S4" s="49">
        <f>'📊 Par Automate'!C12</f>
        <v>0</v>
      </c>
      <c r="X4" s="49">
        <f t="array" ref="X4">IFERROR(INDEX('📥 Data Source'!$A$5:$A$38201,MATCH(0,COUNTIF($X$1:X3,'📥 Data Source'!$A$5:$A$38201)+IF('📥 Data Source'!$A$5:$A$38201="",1,0),0)),"")</f>
        <v>0</v>
      </c>
      <c r="Y4" s="49">
        <f>IF(X4="","",SUMIF('📥 Data Source'!$A$5:$A$38201,X4,'📥 Data Source'!$G$5:$G$38201))</f>
        <v>0</v>
      </c>
    </row>
    <row r="5" spans="1:25">
      <c r="R5" s="49">
        <f>'📊 Par Automate'!A13</f>
        <v>0</v>
      </c>
      <c r="S5" s="49">
        <f>'📊 Par Automate'!C13</f>
        <v>0</v>
      </c>
      <c r="X5" s="49">
        <f t="array" ref="X5">IFERROR(INDEX('📥 Data Source'!$A$5:$A$38201,MATCH(0,COUNTIF($X$1:X4,'📥 Data Source'!$A$5:$A$38201)+IF('📥 Data Source'!$A$5:$A$38201="",1,0),0)),"")</f>
        <v>0</v>
      </c>
      <c r="Y5" s="49">
        <f>IF(X5="","",SUMIF('📥 Data Source'!$A$5:$A$38201,X5,'📥 Data Source'!$G$5:$G$38201))</f>
        <v>0</v>
      </c>
    </row>
    <row r="6" spans="1:25">
      <c r="R6" s="49">
        <f>'📊 Par Automate'!A14</f>
        <v>0</v>
      </c>
      <c r="S6" s="49">
        <f>'📊 Par Automate'!C14</f>
        <v>0</v>
      </c>
      <c r="X6" s="49">
        <f t="array" ref="X6">IFERROR(INDEX('📥 Data Source'!$A$5:$A$38201,MATCH(0,COUNTIF($X$1:X5,'📥 Data Source'!$A$5:$A$38201)+IF('📥 Data Source'!$A$5:$A$38201="",1,0),0)),"")</f>
        <v>0</v>
      </c>
      <c r="Y6" s="49">
        <f>IF(X6="","",SUMIF('📥 Data Source'!$A$5:$A$38201,X6,'📥 Data Source'!$G$5:$G$38201))</f>
        <v>0</v>
      </c>
    </row>
    <row r="7" spans="1:25">
      <c r="R7" s="49">
        <f>'📊 Par Automate'!A15</f>
        <v>0</v>
      </c>
      <c r="S7" s="49">
        <f>'📊 Par Automate'!C15</f>
        <v>0</v>
      </c>
      <c r="X7" s="49">
        <f t="array" ref="X7">IFERROR(INDEX('📥 Data Source'!$A$5:$A$38201,MATCH(0,COUNTIF($X$1:X6,'📥 Data Source'!$A$5:$A$38201)+IF('📥 Data Source'!$A$5:$A$38201="",1,0),0)),"")</f>
        <v>0</v>
      </c>
      <c r="Y7" s="49">
        <f>IF(X7="","",SUMIF('📥 Data Source'!$A$5:$A$38201,X7,'📥 Data Source'!$G$5:$G$38201))</f>
        <v>0</v>
      </c>
    </row>
    <row r="8" spans="1:25">
      <c r="R8" s="49">
        <f>'📊 Par Automate'!A16</f>
        <v>0</v>
      </c>
      <c r="S8" s="49">
        <f>'📊 Par Automate'!C16</f>
        <v>0</v>
      </c>
      <c r="X8" s="49">
        <f t="array" ref="X8">IFERROR(INDEX('📥 Data Source'!$A$5:$A$38201,MATCH(0,COUNTIF($X$1:X7,'📥 Data Source'!$A$5:$A$38201)+IF('📥 Data Source'!$A$5:$A$38201="",1,0),0)),"")</f>
        <v>0</v>
      </c>
      <c r="Y8" s="49">
        <f>IF(X8="","",SUMIF('📥 Data Source'!$A$5:$A$38201,X8,'📥 Data Source'!$G$5:$G$38201))</f>
        <v>0</v>
      </c>
    </row>
    <row r="9" spans="1:25">
      <c r="R9" s="49">
        <f>'📊 Par Automate'!A17</f>
        <v>0</v>
      </c>
      <c r="S9" s="49">
        <f>'📊 Par Automate'!C17</f>
        <v>0</v>
      </c>
      <c r="X9" s="49">
        <f t="array" ref="X9">IFERROR(INDEX('📥 Data Source'!$A$5:$A$38201,MATCH(0,COUNTIF($X$1:X8,'📥 Data Source'!$A$5:$A$38201)+IF('📥 Data Source'!$A$5:$A$38201="",1,0),0)),"")</f>
        <v>0</v>
      </c>
      <c r="Y9" s="49">
        <f>IF(X9="","",SUMIF('📥 Data Source'!$A$5:$A$38201,X9,'📥 Data Source'!$G$5:$G$38201))</f>
        <v>0</v>
      </c>
    </row>
    <row r="10" spans="1:25">
      <c r="R10" s="49">
        <f>'📊 Par Automate'!A18</f>
        <v>0</v>
      </c>
      <c r="S10" s="49">
        <f>'📊 Par Automate'!C18</f>
        <v>0</v>
      </c>
      <c r="X10" s="49">
        <f t="array" ref="X10">IFERROR(INDEX('📥 Data Source'!$A$5:$A$38201,MATCH(0,COUNTIF($X$1:X9,'📥 Data Source'!$A$5:$A$38201)+IF('📥 Data Source'!$A$5:$A$38201="",1,0),0)),"")</f>
        <v>0</v>
      </c>
      <c r="Y10" s="49">
        <f>IF(X10="","",SUMIF('📥 Data Source'!$A$5:$A$38201,X10,'📥 Data Source'!$G$5:$G$38201))</f>
        <v>0</v>
      </c>
    </row>
    <row r="11" spans="1:25">
      <c r="R11" s="49">
        <f>'📊 Par Automate'!A19</f>
        <v>0</v>
      </c>
      <c r="S11" s="49">
        <f>'📊 Par Automate'!C19</f>
        <v>0</v>
      </c>
      <c r="X11" s="49">
        <f t="array" ref="X11">IFERROR(INDEX('📥 Data Source'!$A$5:$A$38201,MATCH(0,COUNTIF($X$1:X10,'📥 Data Source'!$A$5:$A$38201)+IF('📥 Data Source'!$A$5:$A$38201="",1,0),0)),"")</f>
        <v>0</v>
      </c>
      <c r="Y11" s="49">
        <f>IF(X11="","",SUMIF('📥 Data Source'!$A$5:$A$38201,X11,'📥 Data Source'!$G$5:$G$38201))</f>
        <v>0</v>
      </c>
    </row>
    <row r="12" spans="1:25">
      <c r="R12" s="49">
        <f>'📊 Par Automate'!A20</f>
        <v>0</v>
      </c>
      <c r="S12" s="49">
        <f>'📊 Par Automate'!C20</f>
        <v>0</v>
      </c>
      <c r="X12" s="49">
        <f t="array" ref="X12">IFERROR(INDEX('📥 Data Source'!$A$5:$A$38201,MATCH(0,COUNTIF($X$1:X11,'📥 Data Source'!$A$5:$A$38201)+IF('📥 Data Source'!$A$5:$A$38201="",1,0),0)),"")</f>
        <v>0</v>
      </c>
      <c r="Y12" s="49">
        <f>IF(X12="","",SUMIF('📥 Data Source'!$A$5:$A$38201,X12,'📥 Data Source'!$G$5:$G$38201))</f>
        <v>0</v>
      </c>
    </row>
    <row r="13" spans="1:25">
      <c r="R13" s="49">
        <f>'📊 Par Automate'!A21</f>
        <v>0</v>
      </c>
      <c r="S13" s="49">
        <f>'📊 Par Automate'!C21</f>
        <v>0</v>
      </c>
      <c r="X13" s="49">
        <f t="array" ref="X13">IFERROR(INDEX('📥 Data Source'!$A$5:$A$38201,MATCH(0,COUNTIF($X$1:X12,'📥 Data Source'!$A$5:$A$38201)+IF('📥 Data Source'!$A$5:$A$38201="",1,0),0)),"")</f>
        <v>0</v>
      </c>
      <c r="Y13" s="49">
        <f>IF(X13="","",SUMIF('📥 Data Source'!$A$5:$A$38201,X13,'📥 Data Source'!$G$5:$G$38201))</f>
        <v>0</v>
      </c>
    </row>
    <row r="14" spans="1:25">
      <c r="R14" s="49">
        <f>'📊 Par Automate'!A22</f>
        <v>0</v>
      </c>
      <c r="S14" s="49">
        <f>'📊 Par Automate'!C22</f>
        <v>0</v>
      </c>
      <c r="X14" s="49">
        <f t="array" ref="X14">IFERROR(INDEX('📥 Data Source'!$A$5:$A$38201,MATCH(0,COUNTIF($X$1:X13,'📥 Data Source'!$A$5:$A$38201)+IF('📥 Data Source'!$A$5:$A$38201="",1,0),0)),"")</f>
        <v>0</v>
      </c>
      <c r="Y14" s="49">
        <f>IF(X14="","",SUMIF('📥 Data Source'!$A$5:$A$38201,X14,'📥 Data Source'!$G$5:$G$38201))</f>
        <v>0</v>
      </c>
    </row>
    <row r="15" spans="1:25">
      <c r="R15" s="49">
        <f>'📊 Par Automate'!A23</f>
        <v>0</v>
      </c>
      <c r="S15" s="49">
        <f>'📊 Par Automate'!C23</f>
        <v>0</v>
      </c>
      <c r="X15" s="49">
        <f t="array" ref="X15">IFERROR(INDEX('📥 Data Source'!$A$5:$A$38201,MATCH(0,COUNTIF($X$1:X14,'📥 Data Source'!$A$5:$A$38201)+IF('📥 Data Source'!$A$5:$A$38201="",1,0),0)),"")</f>
        <v>0</v>
      </c>
      <c r="Y15" s="49">
        <f>IF(X15="","",SUMIF('📥 Data Source'!$A$5:$A$38201,X15,'📥 Data Source'!$G$5:$G$38201))</f>
        <v>0</v>
      </c>
    </row>
    <row r="16" spans="1:25">
      <c r="R16" s="49">
        <f>'📊 Par Automate'!A24</f>
        <v>0</v>
      </c>
      <c r="S16" s="49">
        <f>'📊 Par Automate'!C24</f>
        <v>0</v>
      </c>
      <c r="X16" s="49">
        <f t="array" ref="X16">IFERROR(INDEX('📥 Data Source'!$A$5:$A$38201,MATCH(0,COUNTIF($X$1:X15,'📥 Data Source'!$A$5:$A$38201)+IF('📥 Data Source'!$A$5:$A$38201="",1,0),0)),"")</f>
        <v>0</v>
      </c>
      <c r="Y16" s="49">
        <f>IF(X16="","",SUMIF('📥 Data Source'!$A$5:$A$38201,X16,'📥 Data Source'!$G$5:$G$38201))</f>
        <v>0</v>
      </c>
    </row>
    <row r="17" spans="1:25">
      <c r="R17" s="49">
        <f>'📊 Par Automate'!A25</f>
        <v>0</v>
      </c>
      <c r="S17" s="49">
        <f>'📊 Par Automate'!C25</f>
        <v>0</v>
      </c>
      <c r="X17" s="49">
        <f t="array" ref="X17">IFERROR(INDEX('📥 Data Source'!$A$5:$A$38201,MATCH(0,COUNTIF($X$1:X16,'📥 Data Source'!$A$5:$A$38201)+IF('📥 Data Source'!$A$5:$A$38201="",1,0),0)),"")</f>
        <v>0</v>
      </c>
      <c r="Y17" s="49">
        <f>IF(X17="","",SUMIF('📥 Data Source'!$A$5:$A$38201,X17,'📥 Data Source'!$G$5:$G$38201))</f>
        <v>0</v>
      </c>
    </row>
    <row r="18" spans="1:25">
      <c r="R18" s="49">
        <f>'📊 Par Automate'!A26</f>
        <v>0</v>
      </c>
      <c r="S18" s="49">
        <f>'📊 Par Automate'!C26</f>
        <v>0</v>
      </c>
      <c r="X18" s="49">
        <f t="array" ref="X18">IFERROR(INDEX('📥 Data Source'!$A$5:$A$38201,MATCH(0,COUNTIF($X$1:X17,'📥 Data Source'!$A$5:$A$38201)+IF('📥 Data Source'!$A$5:$A$38201="",1,0),0)),"")</f>
        <v>0</v>
      </c>
      <c r="Y18" s="49">
        <f>IF(X18="","",SUMIF('📥 Data Source'!$A$5:$A$38201,X18,'📥 Data Source'!$G$5:$G$38201))</f>
        <v>0</v>
      </c>
    </row>
    <row r="19" spans="1:25">
      <c r="R19" s="49">
        <f>'📊 Par Automate'!A27</f>
        <v>0</v>
      </c>
      <c r="S19" s="49">
        <f>'📊 Par Automate'!C27</f>
        <v>0</v>
      </c>
      <c r="X19" s="49">
        <f t="array" ref="X19">IFERROR(INDEX('📥 Data Source'!$A$5:$A$38201,MATCH(0,COUNTIF($X$1:X18,'📥 Data Source'!$A$5:$A$38201)+IF('📥 Data Source'!$A$5:$A$38201="",1,0),0)),"")</f>
        <v>0</v>
      </c>
      <c r="Y19" s="49">
        <f>IF(X19="","",SUMIF('📥 Data Source'!$A$5:$A$38201,X19,'📥 Data Source'!$G$5:$G$38201))</f>
        <v>0</v>
      </c>
    </row>
    <row r="20" spans="1:25">
      <c r="R20" s="49">
        <f>'📊 Par Automate'!A28</f>
        <v>0</v>
      </c>
      <c r="S20" s="49">
        <f>'📊 Par Automate'!C28</f>
        <v>0</v>
      </c>
      <c r="X20" s="49">
        <f t="array" ref="X20">IFERROR(INDEX('📥 Data Source'!$A$5:$A$38201,MATCH(0,COUNTIF($X$1:X19,'📥 Data Source'!$A$5:$A$38201)+IF('📥 Data Source'!$A$5:$A$38201="",1,0),0)),"")</f>
        <v>0</v>
      </c>
      <c r="Y20" s="49">
        <f>IF(X20="","",SUMIF('📥 Data Source'!$A$5:$A$38201,X20,'📥 Data Source'!$G$5:$G$38201))</f>
        <v>0</v>
      </c>
    </row>
    <row r="21" spans="1:25">
      <c r="R21" s="49">
        <f>'📊 Par Automate'!A29</f>
        <v>0</v>
      </c>
      <c r="S21" s="49">
        <f>'📊 Par Automate'!C29</f>
        <v>0</v>
      </c>
      <c r="X21" s="49">
        <f t="array" ref="X21">IFERROR(INDEX('📥 Data Source'!$A$5:$A$38201,MATCH(0,COUNTIF($X$1:X20,'📥 Data Source'!$A$5:$A$38201)+IF('📥 Data Source'!$A$5:$A$38201="",1,0),0)),"")</f>
        <v>0</v>
      </c>
      <c r="Y21" s="49">
        <f>IF(X21="","",SUMIF('📥 Data Source'!$A$5:$A$38201,X21,'📥 Data Source'!$G$5:$G$38201))</f>
        <v>0</v>
      </c>
    </row>
    <row r="22" spans="1:25">
      <c r="R22" s="49">
        <f>'📊 Par Automate'!A30</f>
        <v>0</v>
      </c>
      <c r="S22" s="49">
        <f>'📊 Par Automate'!C30</f>
        <v>0</v>
      </c>
      <c r="X22" s="49">
        <f t="array" ref="X22">IFERROR(INDEX('📥 Data Source'!$A$5:$A$38201,MATCH(0,COUNTIF($X$1:X21,'📥 Data Source'!$A$5:$A$38201)+IF('📥 Data Source'!$A$5:$A$38201="",1,0),0)),"")</f>
        <v>0</v>
      </c>
      <c r="Y22" s="49">
        <f>IF(X22="","",SUMIF('📥 Data Source'!$A$5:$A$38201,X22,'📥 Data Source'!$G$5:$G$38201))</f>
        <v>0</v>
      </c>
    </row>
    <row r="23" spans="1:25" ht="26" customHeight="1">
      <c r="A23" s="50" t="s">
        <v>63</v>
      </c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R23" s="49">
        <f>'📊 Par Automate'!A31</f>
        <v>0</v>
      </c>
      <c r="S23" s="49">
        <f>'📊 Par Automate'!C31</f>
        <v>0</v>
      </c>
      <c r="X23" s="49">
        <f t="array" ref="X23">IFERROR(INDEX('📥 Data Source'!$A$5:$A$38201,MATCH(0,COUNTIF($X$1:X22,'📥 Data Source'!$A$5:$A$38201)+IF('📥 Data Source'!$A$5:$A$38201="",1,0),0)),"")</f>
        <v>0</v>
      </c>
      <c r="Y23" s="49">
        <f>IF(X23="","",SUMIF('📥 Data Source'!$A$5:$A$38201,X23,'📥 Data Source'!$G$5:$G$38201))</f>
        <v>0</v>
      </c>
    </row>
    <row r="24" spans="1:25">
      <c r="R24" s="49">
        <f>'📊 Par Automate'!A32</f>
        <v>0</v>
      </c>
      <c r="S24" s="49">
        <f>'📊 Par Automate'!C32</f>
        <v>0</v>
      </c>
      <c r="X24" s="49">
        <f t="array" ref="X24">IFERROR(INDEX('📥 Data Source'!$A$5:$A$38201,MATCH(0,COUNTIF($X$1:X23,'📥 Data Source'!$A$5:$A$38201)+IF('📥 Data Source'!$A$5:$A$38201="",1,0),0)),"")</f>
        <v>0</v>
      </c>
      <c r="Y24" s="49">
        <f>IF(X24="","",SUMIF('📥 Data Source'!$A$5:$A$38201,X24,'📥 Data Source'!$G$5:$G$38201))</f>
        <v>0</v>
      </c>
    </row>
    <row r="25" spans="1:25">
      <c r="R25" s="49">
        <f>'📊 Par Automate'!A33</f>
        <v>0</v>
      </c>
      <c r="S25" s="49">
        <f>'📊 Par Automate'!C33</f>
        <v>0</v>
      </c>
      <c r="X25" s="49">
        <f t="array" ref="X25">IFERROR(INDEX('📥 Data Source'!$A$5:$A$38201,MATCH(0,COUNTIF($X$1:X24,'📥 Data Source'!$A$5:$A$38201)+IF('📥 Data Source'!$A$5:$A$38201="",1,0),0)),"")</f>
        <v>0</v>
      </c>
      <c r="Y25" s="49">
        <f>IF(X25="","",SUMIF('📥 Data Source'!$A$5:$A$38201,X25,'📥 Data Source'!$G$5:$G$38201))</f>
        <v>0</v>
      </c>
    </row>
    <row r="26" spans="1:25">
      <c r="R26" s="49">
        <f>'📊 Par Automate'!A34</f>
        <v>0</v>
      </c>
      <c r="S26" s="49">
        <f>'📊 Par Automate'!C34</f>
        <v>0</v>
      </c>
      <c r="X26" s="49">
        <f t="array" ref="X26">IFERROR(INDEX('📥 Data Source'!$A$5:$A$38201,MATCH(0,COUNTIF($X$1:X25,'📥 Data Source'!$A$5:$A$38201)+IF('📥 Data Source'!$A$5:$A$38201="",1,0),0)),"")</f>
        <v>0</v>
      </c>
      <c r="Y26" s="49">
        <f>IF(X26="","",SUMIF('📥 Data Source'!$A$5:$A$38201,X26,'📥 Data Source'!$G$5:$G$38201))</f>
        <v>0</v>
      </c>
    </row>
    <row r="27" spans="1:25">
      <c r="R27" s="49">
        <f>'📊 Par Automate'!A35</f>
        <v>0</v>
      </c>
      <c r="S27" s="49">
        <f>'📊 Par Automate'!C35</f>
        <v>0</v>
      </c>
      <c r="X27" s="49">
        <f t="array" ref="X27">IFERROR(INDEX('📥 Data Source'!$A$5:$A$38201,MATCH(0,COUNTIF($X$1:X26,'📥 Data Source'!$A$5:$A$38201)+IF('📥 Data Source'!$A$5:$A$38201="",1,0),0)),"")</f>
        <v>0</v>
      </c>
      <c r="Y27" s="49">
        <f>IF(X27="","",SUMIF('📥 Data Source'!$A$5:$A$38201,X27,'📥 Data Source'!$G$5:$G$38201))</f>
        <v>0</v>
      </c>
    </row>
    <row r="28" spans="1:25">
      <c r="R28" s="49">
        <f>'📊 Par Automate'!A36</f>
        <v>0</v>
      </c>
      <c r="S28" s="49">
        <f>'📊 Par Automate'!C36</f>
        <v>0</v>
      </c>
      <c r="X28" s="49">
        <f t="array" ref="X28">IFERROR(INDEX('📥 Data Source'!$A$5:$A$38201,MATCH(0,COUNTIF($X$1:X27,'📥 Data Source'!$A$5:$A$38201)+IF('📥 Data Source'!$A$5:$A$38201="",1,0),0)),"")</f>
        <v>0</v>
      </c>
      <c r="Y28" s="49">
        <f>IF(X28="","",SUMIF('📥 Data Source'!$A$5:$A$38201,X28,'📥 Data Source'!$G$5:$G$38201))</f>
        <v>0</v>
      </c>
    </row>
    <row r="29" spans="1:25">
      <c r="R29" s="49">
        <f>'📊 Par Automate'!A37</f>
        <v>0</v>
      </c>
      <c r="S29" s="49">
        <f>'📊 Par Automate'!C37</f>
        <v>0</v>
      </c>
      <c r="X29" s="49">
        <f t="array" ref="X29">IFERROR(INDEX('📥 Data Source'!$A$5:$A$38201,MATCH(0,COUNTIF($X$1:X28,'📥 Data Source'!$A$5:$A$38201)+IF('📥 Data Source'!$A$5:$A$38201="",1,0),0)),"")</f>
        <v>0</v>
      </c>
      <c r="Y29" s="49">
        <f>IF(X29="","",SUMIF('📥 Data Source'!$A$5:$A$38201,X29,'📥 Data Source'!$G$5:$G$38201))</f>
        <v>0</v>
      </c>
    </row>
    <row r="30" spans="1:25">
      <c r="R30" s="49">
        <f>'📊 Par Automate'!A38</f>
        <v>0</v>
      </c>
      <c r="S30" s="49">
        <f>'📊 Par Automate'!C38</f>
        <v>0</v>
      </c>
      <c r="X30" s="49">
        <f t="array" ref="X30">IFERROR(INDEX('📥 Data Source'!$A$5:$A$38201,MATCH(0,COUNTIF($X$1:X29,'📥 Data Source'!$A$5:$A$38201)+IF('📥 Data Source'!$A$5:$A$38201="",1,0),0)),"")</f>
        <v>0</v>
      </c>
      <c r="Y30" s="49">
        <f>IF(X30="","",SUMIF('📥 Data Source'!$A$5:$A$38201,X30,'📥 Data Source'!$G$5:$G$38201))</f>
        <v>0</v>
      </c>
    </row>
    <row r="31" spans="1:25">
      <c r="R31" s="49">
        <f>'📊 Par Automate'!A39</f>
        <v>0</v>
      </c>
      <c r="S31" s="49">
        <f>'📊 Par Automate'!C39</f>
        <v>0</v>
      </c>
      <c r="X31" s="49">
        <f t="array" ref="X31">IFERROR(INDEX('📥 Data Source'!$A$5:$A$38201,MATCH(0,COUNTIF($X$1:X30,'📥 Data Source'!$A$5:$A$38201)+IF('📥 Data Source'!$A$5:$A$38201="",1,0),0)),"")</f>
        <v>0</v>
      </c>
      <c r="Y31" s="49">
        <f>IF(X31="","",SUMIF('📥 Data Source'!$A$5:$A$38201,X31,'📥 Data Source'!$G$5:$G$38201))</f>
        <v>0</v>
      </c>
    </row>
    <row r="32" spans="1:25">
      <c r="R32" s="49">
        <f>'📊 Par Automate'!A40</f>
        <v>0</v>
      </c>
      <c r="S32" s="49">
        <f>'📊 Par Automate'!C40</f>
        <v>0</v>
      </c>
      <c r="X32" s="49">
        <f t="array" ref="X32">IFERROR(INDEX('📥 Data Source'!$A$5:$A$38201,MATCH(0,COUNTIF($X$1:X31,'📥 Data Source'!$A$5:$A$38201)+IF('📥 Data Source'!$A$5:$A$38201="",1,0),0)),"")</f>
        <v>0</v>
      </c>
      <c r="Y32" s="49">
        <f>IF(X32="","",SUMIF('📥 Data Source'!$A$5:$A$38201,X32,'📥 Data Source'!$G$5:$G$38201))</f>
        <v>0</v>
      </c>
    </row>
    <row r="33" spans="18:25">
      <c r="R33" s="49">
        <f>'📊 Par Automate'!A41</f>
        <v>0</v>
      </c>
      <c r="S33" s="49">
        <f>'📊 Par Automate'!C41</f>
        <v>0</v>
      </c>
      <c r="X33" s="49">
        <f t="array" ref="X33">IFERROR(INDEX('📥 Data Source'!$A$5:$A$38201,MATCH(0,COUNTIF($X$1:X32,'📥 Data Source'!$A$5:$A$38201)+IF('📥 Data Source'!$A$5:$A$38201="",1,0),0)),"")</f>
        <v>0</v>
      </c>
      <c r="Y33" s="49">
        <f>IF(X33="","",SUMIF('📥 Data Source'!$A$5:$A$38201,X33,'📥 Data Source'!$G$5:$G$38201))</f>
        <v>0</v>
      </c>
    </row>
    <row r="34" spans="18:25">
      <c r="R34" s="49">
        <f>'📊 Par Automate'!A42</f>
        <v>0</v>
      </c>
      <c r="S34" s="49">
        <f>'📊 Par Automate'!C42</f>
        <v>0</v>
      </c>
      <c r="X34" s="49">
        <f t="array" ref="X34">IFERROR(INDEX('📥 Data Source'!$A$5:$A$38201,MATCH(0,COUNTIF($X$1:X33,'📥 Data Source'!$A$5:$A$38201)+IF('📥 Data Source'!$A$5:$A$38201="",1,0),0)),"")</f>
        <v>0</v>
      </c>
      <c r="Y34" s="49">
        <f>IF(X34="","",SUMIF('📥 Data Source'!$A$5:$A$38201,X34,'📥 Data Source'!$G$5:$G$38201))</f>
        <v>0</v>
      </c>
    </row>
    <row r="35" spans="18:25">
      <c r="R35" s="49">
        <f>'📊 Par Automate'!A43</f>
        <v>0</v>
      </c>
      <c r="S35" s="49">
        <f>'📊 Par Automate'!C43</f>
        <v>0</v>
      </c>
      <c r="X35" s="49">
        <f t="array" ref="X35">IFERROR(INDEX('📥 Data Source'!$A$5:$A$38201,MATCH(0,COUNTIF($X$1:X34,'📥 Data Source'!$A$5:$A$38201)+IF('📥 Data Source'!$A$5:$A$38201="",1,0),0)),"")</f>
        <v>0</v>
      </c>
      <c r="Y35" s="49">
        <f>IF(X35="","",SUMIF('📥 Data Source'!$A$5:$A$38201,X35,'📥 Data Source'!$G$5:$G$38201))</f>
        <v>0</v>
      </c>
    </row>
    <row r="36" spans="18:25">
      <c r="R36" s="49">
        <f>'📊 Par Automate'!A44</f>
        <v>0</v>
      </c>
      <c r="S36" s="49">
        <f>'📊 Par Automate'!C44</f>
        <v>0</v>
      </c>
      <c r="X36" s="49">
        <f t="array" ref="X36">IFERROR(INDEX('📥 Data Source'!$A$5:$A$38201,MATCH(0,COUNTIF($X$1:X35,'📥 Data Source'!$A$5:$A$38201)+IF('📥 Data Source'!$A$5:$A$38201="",1,0),0)),"")</f>
        <v>0</v>
      </c>
      <c r="Y36" s="49">
        <f>IF(X36="","",SUMIF('📥 Data Source'!$A$5:$A$38201,X36,'📥 Data Source'!$G$5:$G$38201))</f>
        <v>0</v>
      </c>
    </row>
    <row r="37" spans="18:25">
      <c r="R37" s="49">
        <f>'📊 Par Automate'!A45</f>
        <v>0</v>
      </c>
      <c r="S37" s="49">
        <f>'📊 Par Automate'!C45</f>
        <v>0</v>
      </c>
      <c r="X37" s="49">
        <f t="array" ref="X37">IFERROR(INDEX('📥 Data Source'!$A$5:$A$38201,MATCH(0,COUNTIF($X$1:X36,'📥 Data Source'!$A$5:$A$38201)+IF('📥 Data Source'!$A$5:$A$38201="",1,0),0)),"")</f>
        <v>0</v>
      </c>
      <c r="Y37" s="49">
        <f>IF(X37="","",SUMIF('📥 Data Source'!$A$5:$A$38201,X37,'📥 Data Source'!$G$5:$G$38201))</f>
        <v>0</v>
      </c>
    </row>
    <row r="38" spans="18:25">
      <c r="R38" s="49">
        <f>'📊 Par Automate'!A46</f>
        <v>0</v>
      </c>
      <c r="S38" s="49">
        <f>'📊 Par Automate'!C46</f>
        <v>0</v>
      </c>
      <c r="X38" s="49">
        <f t="array" ref="X38">IFERROR(INDEX('📥 Data Source'!$A$5:$A$38201,MATCH(0,COUNTIF($X$1:X37,'📥 Data Source'!$A$5:$A$38201)+IF('📥 Data Source'!$A$5:$A$38201="",1,0),0)),"")</f>
        <v>0</v>
      </c>
      <c r="Y38" s="49">
        <f>IF(X38="","",SUMIF('📥 Data Source'!$A$5:$A$38201,X38,'📥 Data Source'!$G$5:$G$38201))</f>
        <v>0</v>
      </c>
    </row>
    <row r="39" spans="18:25">
      <c r="R39" s="49">
        <f>'📊 Par Automate'!A47</f>
        <v>0</v>
      </c>
      <c r="S39" s="49">
        <f>'📊 Par Automate'!C47</f>
        <v>0</v>
      </c>
      <c r="X39" s="49">
        <f t="array" ref="X39">IFERROR(INDEX('📥 Data Source'!$A$5:$A$38201,MATCH(0,COUNTIF($X$1:X38,'📥 Data Source'!$A$5:$A$38201)+IF('📥 Data Source'!$A$5:$A$38201="",1,0),0)),"")</f>
        <v>0</v>
      </c>
      <c r="Y39" s="49">
        <f>IF(X39="","",SUMIF('📥 Data Source'!$A$5:$A$38201,X39,'📥 Data Source'!$G$5:$G$38201))</f>
        <v>0</v>
      </c>
    </row>
    <row r="40" spans="18:25">
      <c r="R40" s="49">
        <f>'📊 Par Automate'!A48</f>
        <v>0</v>
      </c>
      <c r="S40" s="49">
        <f>'📊 Par Automate'!C48</f>
        <v>0</v>
      </c>
      <c r="X40" s="49">
        <f t="array" ref="X40">IFERROR(INDEX('📥 Data Source'!$A$5:$A$38201,MATCH(0,COUNTIF($X$1:X39,'📥 Data Source'!$A$5:$A$38201)+IF('📥 Data Source'!$A$5:$A$38201="",1,0),0)),"")</f>
        <v>0</v>
      </c>
      <c r="Y40" s="49">
        <f>IF(X40="","",SUMIF('📥 Data Source'!$A$5:$A$38201,X40,'📥 Data Source'!$G$5:$G$38201))</f>
        <v>0</v>
      </c>
    </row>
    <row r="41" spans="18:25">
      <c r="R41" s="49">
        <f>'📊 Par Automate'!A49</f>
        <v>0</v>
      </c>
      <c r="S41" s="49">
        <f>'📊 Par Automate'!C49</f>
        <v>0</v>
      </c>
      <c r="X41" s="49">
        <f t="array" ref="X41">IFERROR(INDEX('📥 Data Source'!$A$5:$A$38201,MATCH(0,COUNTIF($X$1:X40,'📥 Data Source'!$A$5:$A$38201)+IF('📥 Data Source'!$A$5:$A$38201="",1,0),0)),"")</f>
        <v>0</v>
      </c>
      <c r="Y41" s="49">
        <f>IF(X41="","",SUMIF('📥 Data Source'!$A$5:$A$38201,X41,'📥 Data Source'!$G$5:$G$38201))</f>
        <v>0</v>
      </c>
    </row>
    <row r="42" spans="18:25">
      <c r="R42" s="49">
        <f>'📊 Par Automate'!A50</f>
        <v>0</v>
      </c>
      <c r="S42" s="49">
        <f>'📊 Par Automate'!C50</f>
        <v>0</v>
      </c>
      <c r="X42" s="49">
        <f t="array" ref="X42">IFERROR(INDEX('📥 Data Source'!$A$5:$A$38201,MATCH(0,COUNTIF($X$1:X41,'📥 Data Source'!$A$5:$A$38201)+IF('📥 Data Source'!$A$5:$A$38201="",1,0),0)),"")</f>
        <v>0</v>
      </c>
      <c r="Y42" s="49">
        <f>IF(X42="","",SUMIF('📥 Data Source'!$A$5:$A$38201,X42,'📥 Data Source'!$G$5:$G$38201))</f>
        <v>0</v>
      </c>
    </row>
    <row r="43" spans="18:25">
      <c r="R43" s="49">
        <f>'📊 Par Automate'!A51</f>
        <v>0</v>
      </c>
      <c r="S43" s="49">
        <f>'📊 Par Automate'!C51</f>
        <v>0</v>
      </c>
      <c r="X43" s="49">
        <f t="array" ref="X43">IFERROR(INDEX('📥 Data Source'!$A$5:$A$38201,MATCH(0,COUNTIF($X$1:X42,'📥 Data Source'!$A$5:$A$38201)+IF('📥 Data Source'!$A$5:$A$38201="",1,0),0)),"")</f>
        <v>0</v>
      </c>
      <c r="Y43" s="49">
        <f>IF(X43="","",SUMIF('📥 Data Source'!$A$5:$A$38201,X43,'📥 Data Source'!$G$5:$G$38201))</f>
        <v>0</v>
      </c>
    </row>
    <row r="44" spans="18:25">
      <c r="R44" s="49">
        <f>'📊 Par Automate'!A52</f>
        <v>0</v>
      </c>
      <c r="S44" s="49">
        <f>'📊 Par Automate'!C52</f>
        <v>0</v>
      </c>
      <c r="X44" s="49">
        <f t="array" ref="X44">IFERROR(INDEX('📥 Data Source'!$A$5:$A$38201,MATCH(0,COUNTIF($X$1:X43,'📥 Data Source'!$A$5:$A$38201)+IF('📥 Data Source'!$A$5:$A$38201="",1,0),0)),"")</f>
        <v>0</v>
      </c>
      <c r="Y44" s="49">
        <f>IF(X44="","",SUMIF('📥 Data Source'!$A$5:$A$38201,X44,'📥 Data Source'!$G$5:$G$38201))</f>
        <v>0</v>
      </c>
    </row>
    <row r="45" spans="18:25">
      <c r="R45" s="49">
        <f>'📊 Par Automate'!A53</f>
        <v>0</v>
      </c>
      <c r="S45" s="49">
        <f>'📊 Par Automate'!C53</f>
        <v>0</v>
      </c>
      <c r="X45" s="49">
        <f t="array" ref="X45">IFERROR(INDEX('📥 Data Source'!$A$5:$A$38201,MATCH(0,COUNTIF($X$1:X44,'📥 Data Source'!$A$5:$A$38201)+IF('📥 Data Source'!$A$5:$A$38201="",1,0),0)),"")</f>
        <v>0</v>
      </c>
      <c r="Y45" s="49">
        <f>IF(X45="","",SUMIF('📥 Data Source'!$A$5:$A$38201,X45,'📥 Data Source'!$G$5:$G$38201))</f>
        <v>0</v>
      </c>
    </row>
    <row r="46" spans="18:25">
      <c r="R46" s="49">
        <f>'📊 Par Automate'!A54</f>
        <v>0</v>
      </c>
      <c r="S46" s="49">
        <f>'📊 Par Automate'!C54</f>
        <v>0</v>
      </c>
      <c r="X46" s="49">
        <f t="array" ref="X46">IFERROR(INDEX('📥 Data Source'!$A$5:$A$38201,MATCH(0,COUNTIF($X$1:X45,'📥 Data Source'!$A$5:$A$38201)+IF('📥 Data Source'!$A$5:$A$38201="",1,0),0)),"")</f>
        <v>0</v>
      </c>
      <c r="Y46" s="49">
        <f>IF(X46="","",SUMIF('📥 Data Source'!$A$5:$A$38201,X46,'📥 Data Source'!$G$5:$G$38201))</f>
        <v>0</v>
      </c>
    </row>
    <row r="47" spans="18:25">
      <c r="R47" s="49">
        <f>'📊 Par Automate'!A55</f>
        <v>0</v>
      </c>
      <c r="S47" s="49">
        <f>'📊 Par Automate'!C55</f>
        <v>0</v>
      </c>
      <c r="X47" s="49">
        <f t="array" ref="X47">IFERROR(INDEX('📥 Data Source'!$A$5:$A$38201,MATCH(0,COUNTIF($X$1:X46,'📥 Data Source'!$A$5:$A$38201)+IF('📥 Data Source'!$A$5:$A$38201="",1,0),0)),"")</f>
        <v>0</v>
      </c>
      <c r="Y47" s="49">
        <f>IF(X47="","",SUMIF('📥 Data Source'!$A$5:$A$38201,X47,'📥 Data Source'!$G$5:$G$38201))</f>
        <v>0</v>
      </c>
    </row>
    <row r="48" spans="18:25">
      <c r="R48" s="49">
        <f>'📊 Par Automate'!A56</f>
        <v>0</v>
      </c>
      <c r="S48" s="49">
        <f>'📊 Par Automate'!C56</f>
        <v>0</v>
      </c>
      <c r="X48" s="49">
        <f t="array" ref="X48">IFERROR(INDEX('📥 Data Source'!$A$5:$A$38201,MATCH(0,COUNTIF($X$1:X47,'📥 Data Source'!$A$5:$A$38201)+IF('📥 Data Source'!$A$5:$A$38201="",1,0),0)),"")</f>
        <v>0</v>
      </c>
      <c r="Y48" s="49">
        <f>IF(X48="","",SUMIF('📥 Data Source'!$A$5:$A$38201,X48,'📥 Data Source'!$G$5:$G$38201))</f>
        <v>0</v>
      </c>
    </row>
    <row r="49" spans="18:25">
      <c r="R49" s="49">
        <f>'📊 Par Automate'!A57</f>
        <v>0</v>
      </c>
      <c r="S49" s="49">
        <f>'📊 Par Automate'!C57</f>
        <v>0</v>
      </c>
      <c r="X49" s="49">
        <f t="array" ref="X49">IFERROR(INDEX('📥 Data Source'!$A$5:$A$38201,MATCH(0,COUNTIF($X$1:X48,'📥 Data Source'!$A$5:$A$38201)+IF('📥 Data Source'!$A$5:$A$38201="",1,0),0)),"")</f>
        <v>0</v>
      </c>
      <c r="Y49" s="49">
        <f>IF(X49="","",SUMIF('📥 Data Source'!$A$5:$A$38201,X49,'📥 Data Source'!$G$5:$G$38201))</f>
        <v>0</v>
      </c>
    </row>
    <row r="50" spans="18:25">
      <c r="R50" s="49">
        <f>'📊 Par Automate'!A58</f>
        <v>0</v>
      </c>
      <c r="S50" s="49">
        <f>'📊 Par Automate'!C58</f>
        <v>0</v>
      </c>
      <c r="X50" s="49">
        <f t="array" ref="X50">IFERROR(INDEX('📥 Data Source'!$A$5:$A$38201,MATCH(0,COUNTIF($X$1:X49,'📥 Data Source'!$A$5:$A$38201)+IF('📥 Data Source'!$A$5:$A$38201="",1,0),0)),"")</f>
        <v>0</v>
      </c>
      <c r="Y50" s="49">
        <f>IF(X50="","",SUMIF('📥 Data Source'!$A$5:$A$38201,X50,'📥 Data Source'!$G$5:$G$38201))</f>
        <v>0</v>
      </c>
    </row>
    <row r="51" spans="18:25">
      <c r="R51" s="49">
        <f>'📊 Par Automate'!A59</f>
        <v>0</v>
      </c>
      <c r="S51" s="49">
        <f>'📊 Par Automate'!C59</f>
        <v>0</v>
      </c>
      <c r="X51" s="49">
        <f t="array" ref="X51">IFERROR(INDEX('📥 Data Source'!$A$5:$A$38201,MATCH(0,COUNTIF($X$1:X50,'📥 Data Source'!$A$5:$A$38201)+IF('📥 Data Source'!$A$5:$A$38201="",1,0),0)),"")</f>
        <v>0</v>
      </c>
      <c r="Y51" s="49">
        <f>IF(X51="","",SUMIF('📥 Data Source'!$A$5:$A$38201,X51,'📥 Data Source'!$G$5:$G$38201))</f>
        <v>0</v>
      </c>
    </row>
    <row r="52" spans="18:25">
      <c r="X52" s="49">
        <f t="array" ref="X52">IFERROR(INDEX('📥 Data Source'!$A$5:$A$38201,MATCH(0,COUNTIF($X$1:X51,'📥 Data Source'!$A$5:$A$38201)+IF('📥 Data Source'!$A$5:$A$38201="",1,0),0)),"")</f>
        <v>0</v>
      </c>
      <c r="Y52" s="49">
        <f>IF(X52="","",SUMIF('📥 Data Source'!$A$5:$A$38201,X52,'📥 Data Source'!$G$5:$G$38201))</f>
        <v>0</v>
      </c>
    </row>
    <row r="53" spans="18:25">
      <c r="X53" s="49">
        <f t="array" ref="X53">IFERROR(INDEX('📥 Data Source'!$A$5:$A$38201,MATCH(0,COUNTIF($X$1:X52,'📥 Data Source'!$A$5:$A$38201)+IF('📥 Data Source'!$A$5:$A$38201="",1,0),0)),"")</f>
        <v>0</v>
      </c>
      <c r="Y53" s="49">
        <f>IF(X53="","",SUMIF('📥 Data Source'!$A$5:$A$38201,X53,'📥 Data Source'!$G$5:$G$38201))</f>
        <v>0</v>
      </c>
    </row>
    <row r="54" spans="18:25">
      <c r="X54" s="49">
        <f t="array" ref="X54">IFERROR(INDEX('📥 Data Source'!$A$5:$A$38201,MATCH(0,COUNTIF($X$1:X53,'📥 Data Source'!$A$5:$A$38201)+IF('📥 Data Source'!$A$5:$A$38201="",1,0),0)),"")</f>
        <v>0</v>
      </c>
      <c r="Y54" s="49">
        <f>IF(X54="","",SUMIF('📥 Data Source'!$A$5:$A$38201,X54,'📥 Data Source'!$G$5:$G$38201))</f>
        <v>0</v>
      </c>
    </row>
    <row r="55" spans="18:25">
      <c r="X55" s="49">
        <f t="array" ref="X55">IFERROR(INDEX('📥 Data Source'!$A$5:$A$38201,MATCH(0,COUNTIF($X$1:X54,'📥 Data Source'!$A$5:$A$38201)+IF('📥 Data Source'!$A$5:$A$38201="",1,0),0)),"")</f>
        <v>0</v>
      </c>
      <c r="Y55" s="49">
        <f>IF(X55="","",SUMIF('📥 Data Source'!$A$5:$A$38201,X55,'📥 Data Source'!$G$5:$G$38201))</f>
        <v>0</v>
      </c>
    </row>
    <row r="56" spans="18:25">
      <c r="X56" s="49">
        <f t="array" ref="X56">IFERROR(INDEX('📥 Data Source'!$A$5:$A$38201,MATCH(0,COUNTIF($X$1:X55,'📥 Data Source'!$A$5:$A$38201)+IF('📥 Data Source'!$A$5:$A$38201="",1,0),0)),"")</f>
        <v>0</v>
      </c>
      <c r="Y56" s="49">
        <f>IF(X56="","",SUMIF('📥 Data Source'!$A$5:$A$38201,X56,'📥 Data Source'!$G$5:$G$38201))</f>
        <v>0</v>
      </c>
    </row>
    <row r="57" spans="18:25">
      <c r="X57" s="49">
        <f t="array" ref="X57">IFERROR(INDEX('📥 Data Source'!$A$5:$A$38201,MATCH(0,COUNTIF($X$1:X56,'📥 Data Source'!$A$5:$A$38201)+IF('📥 Data Source'!$A$5:$A$38201="",1,0),0)),"")</f>
        <v>0</v>
      </c>
      <c r="Y57" s="49">
        <f>IF(X57="","",SUMIF('📥 Data Source'!$A$5:$A$38201,X57,'📥 Data Source'!$G$5:$G$38201))</f>
        <v>0</v>
      </c>
    </row>
    <row r="58" spans="18:25">
      <c r="X58" s="49">
        <f t="array" ref="X58">IFERROR(INDEX('📥 Data Source'!$A$5:$A$38201,MATCH(0,COUNTIF($X$1:X57,'📥 Data Source'!$A$5:$A$38201)+IF('📥 Data Source'!$A$5:$A$38201="",1,0),0)),"")</f>
        <v>0</v>
      </c>
      <c r="Y58" s="49">
        <f>IF(X58="","",SUMIF('📥 Data Source'!$A$5:$A$38201,X58,'📥 Data Source'!$G$5:$G$38201))</f>
        <v>0</v>
      </c>
    </row>
    <row r="59" spans="18:25">
      <c r="X59" s="49">
        <f t="array" ref="X59">IFERROR(INDEX('📥 Data Source'!$A$5:$A$38201,MATCH(0,COUNTIF($X$1:X58,'📥 Data Source'!$A$5:$A$38201)+IF('📥 Data Source'!$A$5:$A$38201="",1,0),0)),"")</f>
        <v>0</v>
      </c>
      <c r="Y59" s="49">
        <f>IF(X59="","",SUMIF('📥 Data Source'!$A$5:$A$38201,X59,'📥 Data Source'!$G$5:$G$38201))</f>
        <v>0</v>
      </c>
    </row>
    <row r="60" spans="18:25">
      <c r="X60" s="49">
        <f t="array" ref="X60">IFERROR(INDEX('📥 Data Source'!$A$5:$A$38201,MATCH(0,COUNTIF($X$1:X59,'📥 Data Source'!$A$5:$A$38201)+IF('📥 Data Source'!$A$5:$A$38201="",1,0),0)),"")</f>
        <v>0</v>
      </c>
      <c r="Y60" s="49">
        <f>IF(X60="","",SUMIF('📥 Data Source'!$A$5:$A$38201,X60,'📥 Data Source'!$G$5:$G$38201))</f>
        <v>0</v>
      </c>
    </row>
    <row r="61" spans="18:25">
      <c r="X61" s="49">
        <f t="array" ref="X61">IFERROR(INDEX('📥 Data Source'!$A$5:$A$38201,MATCH(0,COUNTIF($X$1:X60,'📥 Data Source'!$A$5:$A$38201)+IF('📥 Data Source'!$A$5:$A$38201="",1,0),0)),"")</f>
        <v>0</v>
      </c>
      <c r="Y61" s="49">
        <f>IF(X61="","",SUMIF('📥 Data Source'!$A$5:$A$38201,X61,'📥 Data Source'!$G$5:$G$38201))</f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📥 Data Source</vt:lpstr>
      <vt:lpstr>📊 Par Automate</vt:lpstr>
      <vt:lpstr>🏢 Par Site</vt:lpstr>
      <vt:lpstr>👥 Porteur vs Non Porteur</vt:lpstr>
      <vt:lpstr>📈 Graphiques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2026-06-02T12:24:29Z</dcterms:created>
  <dcterms:modified xsi:type="dcterms:W3CDTF">2026-06-02T12:24:29Z</dcterms:modified>
</cp:coreProperties>
</file>