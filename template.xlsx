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📥 Data Source" sheetId="1" state="visible" r:id="rId3"/>
    <sheet name="📊 Par Automate" sheetId="2" state="visible" r:id="rId4"/>
    <sheet name="🏢 Par Site" sheetId="3" state="visible" r:id="rId5"/>
    <sheet name="👥 Porteur vs Non Porteur" sheetId="4" state="visible" r:id="rId6"/>
    <sheet name="📅 Analyse par Jour" sheetId="5" state="visible" r:id="rId7"/>
    <sheet name="📈 Graphiques" sheetId="6" state="visible" r:id="rId8"/>
    <sheet name="_ChartData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<sst xmlns="http://schemas.openxmlformats.org/spreadsheetml/2006/main" count="232" uniqueCount="93">
  <si>
    <t xml:space="preserve">  🏧   RETRAITS NON SERVIS — 2025   |   DATA SOURCE</t>
  </si>
  <si>
    <t xml:space="preserve">  Extraction : 02/06/2026   |   ⚠️  Colle ici le résultat de ta requête SQL — les autres onglets se mettent à jour automatiquement</t>
  </si>
  <si>
    <t xml:space="preserve">DATE_OPERATION
(DDMMYYYY)</t>
  </si>
  <si>
    <t xml:space="preserve">NUM_AUTOMATE</t>
  </si>
  <si>
    <t xml:space="preserve">LIB_SIT_
IMPLEMENTATION</t>
  </si>
  <si>
    <t xml:space="preserve">CODE_SITE_
IMPLEMENTATION</t>
  </si>
  <si>
    <t xml:space="preserve">TYPE_PORTEUR</t>
  </si>
  <si>
    <t xml:space="preserve">NB_RETRAIT_
NON_ABOUTIS</t>
  </si>
  <si>
    <t xml:space="preserve">MONTANT</t>
  </si>
  <si>
    <t xml:space="preserve">MOTIF</t>
  </si>
  <si>
    <t xml:space="preserve">15012025</t>
  </si>
  <si>
    <t xml:space="preserve">A001</t>
  </si>
  <si>
    <t xml:space="preserve">Agence Paris Centre</t>
  </si>
  <si>
    <t xml:space="preserve">SIT001</t>
  </si>
  <si>
    <t xml:space="preserve">Porteur</t>
  </si>
  <si>
    <t xml:space="preserve">22012025</t>
  </si>
  <si>
    <t xml:space="preserve">A002</t>
  </si>
  <si>
    <t xml:space="preserve">Agence Lyon Sud</t>
  </si>
  <si>
    <t xml:space="preserve">SIT002</t>
  </si>
  <si>
    <t xml:space="preserve">Non porteur</t>
  </si>
  <si>
    <t xml:space="preserve">03022025</t>
  </si>
  <si>
    <t xml:space="preserve">A003</t>
  </si>
  <si>
    <t xml:space="preserve">Agence Marseille</t>
  </si>
  <si>
    <t xml:space="preserve">SIT003</t>
  </si>
  <si>
    <t xml:space="preserve">14022025</t>
  </si>
  <si>
    <t xml:space="preserve">A004</t>
  </si>
  <si>
    <t xml:space="preserve">Agence Bordeaux</t>
  </si>
  <si>
    <t xml:space="preserve">SIT004</t>
  </si>
  <si>
    <t xml:space="preserve">28022025</t>
  </si>
  <si>
    <t xml:space="preserve">A005</t>
  </si>
  <si>
    <t xml:space="preserve">Agence Nantes</t>
  </si>
  <si>
    <t xml:space="preserve">SIT005</t>
  </si>
  <si>
    <t xml:space="preserve">10032025</t>
  </si>
  <si>
    <t xml:space="preserve">25032025</t>
  </si>
  <si>
    <t xml:space="preserve">02042025</t>
  </si>
  <si>
    <t xml:space="preserve">18042025</t>
  </si>
  <si>
    <t xml:space="preserve">05052025</t>
  </si>
  <si>
    <t xml:space="preserve">12052025</t>
  </si>
  <si>
    <t xml:space="preserve">28052025</t>
  </si>
  <si>
    <t xml:space="preserve">04062025</t>
  </si>
  <si>
    <t xml:space="preserve">19062025</t>
  </si>
  <si>
    <t xml:space="preserve">30062025</t>
  </si>
  <si>
    <t xml:space="preserve">⚠️  Supprime les lignes exemple et colle tes vraies données — format date DDMMYYYY (ex : 28082025)</t>
  </si>
  <si>
    <t xml:space="preserve">  📊   ANALYSE PAR AUTOMATE</t>
  </si>
  <si>
    <t xml:space="preserve">  Extraction : 02/06/2026   |   Filtre : colonne_statut = 10   |   Périmètre : 2025</t>
  </si>
  <si>
    <t xml:space="preserve">⚡  INDICATEURS CLÉS GLOBAUX</t>
  </si>
  <si>
    <t xml:space="preserve">Total
Lignes</t>
  </si>
  <si>
    <t xml:space="preserve">Nb Retraits
Non Aboutis</t>
  </si>
  <si>
    <t xml:space="preserve">Montant
Total (€)</t>
  </si>
  <si>
    <t xml:space="preserve">Ops
Porteurs</t>
  </si>
  <si>
    <t xml:space="preserve">Retraits
Porteurs</t>
  </si>
  <si>
    <t xml:space="preserve">Montant
Porteurs (€)</t>
  </si>
  <si>
    <t xml:space="preserve">📋  RÉCAPITULATIF PAR NUM_AUTOMATE</t>
  </si>
  <si>
    <t xml:space="preserve">LIB SITE
IMPLEMENTATION</t>
  </si>
  <si>
    <t xml:space="preserve">NB RETRAITS
NON ABOUTIS</t>
  </si>
  <si>
    <t xml:space="preserve">MONTANT
TOTAL (€)</t>
  </si>
  <si>
    <t xml:space="preserve">NB OPS
PORTEURS</t>
  </si>
  <si>
    <t xml:space="preserve">NB OPS
NON PORTEURS</t>
  </si>
  <si>
    <t xml:space="preserve">TOTAL</t>
  </si>
  <si>
    <t xml:space="preserve">  🏢   ANALYSE PAR SITE D'IMPLÉMENTATION</t>
  </si>
  <si>
    <t xml:space="preserve">📋  RÉCAPITULATIF PAR CODE_SITE_IMPLEMENTATION</t>
  </si>
  <si>
    <t xml:space="preserve">CODE SITE</t>
  </si>
  <si>
    <t xml:space="preserve">LIB SITE</t>
  </si>
  <si>
    <t xml:space="preserve">  👥   PORTEUR vs NON PORTEUR — COMPARATIF</t>
  </si>
  <si>
    <t xml:space="preserve">📊  SYNTHÈSE COMPARÉE</t>
  </si>
  <si>
    <t xml:space="preserve">INDICATEUR</t>
  </si>
  <si>
    <t xml:space="preserve">PORTEUR</t>
  </si>
  <si>
    <t xml:space="preserve">NON PORTEUR</t>
  </si>
  <si>
    <t xml:space="preserve">% PORTEURS</t>
  </si>
  <si>
    <t xml:space="preserve">Nb Lignes (transactions)</t>
  </si>
  <si>
    <t xml:space="preserve">Nb Retraits Non Aboutis</t>
  </si>
  <si>
    <t xml:space="preserve">Montant Total (€)</t>
  </si>
  <si>
    <t xml:space="preserve">Montant Moyen / Retrait (€)</t>
  </si>
  <si>
    <t xml:space="preserve">📋  DÉTAIL PAR AUTOMATE × TYPE PORTEUR</t>
  </si>
  <si>
    <t xml:space="preserve">NB RETRAITS
PORTEUR</t>
  </si>
  <si>
    <t xml:space="preserve">NB RETRAITS
NON PORTEUR</t>
  </si>
  <si>
    <t xml:space="preserve">MNT PORTEUR
(€)</t>
  </si>
  <si>
    <t xml:space="preserve">MNT NON PORTEUR
(€)</t>
  </si>
  <si>
    <t xml:space="preserve">  📅   ANALYSE JOURNALIÈRE — 2025</t>
  </si>
  <si>
    <t xml:space="preserve">📆  RÉCAPITULATIF PAR JOUR  (format date : DDMMYYYY)</t>
  </si>
  <si>
    <t xml:space="preserve">DATE
(DDMMYYYY)</t>
  </si>
  <si>
    <t xml:space="preserve">  📈   TABLEAUX DE BORD GRAPHIQUES — RETRAITS NON SERVIS 2025</t>
  </si>
  <si>
    <t xml:space="preserve">  Graphiques mis à jour automatiquement depuis l'onglet Data Source   |   02/06/2026</t>
  </si>
  <si>
    <t xml:space="preserve">📊  NB RETRAITS NON ABOUTIS PAR AUTOMATE</t>
  </si>
  <si>
    <t xml:space="preserve">🥧  PORTEUR vs NON PORTEUR</t>
  </si>
  <si>
    <t xml:space="preserve">📈  ÉVOLUTION JOURNALIÈRE DES MONTANTS</t>
  </si>
  <si>
    <t xml:space="preserve">NB_RETRAITS_NON_ABOUTIS</t>
  </si>
  <si>
    <t xml:space="preserve">PORTEURS</t>
  </si>
  <si>
    <t xml:space="preserve">NON_PORTEURS</t>
  </si>
  <si>
    <t xml:space="preserve">TYPE</t>
  </si>
  <si>
    <t xml:space="preserve">NB_RETRAITS</t>
  </si>
  <si>
    <t xml:space="preserve">DATE</t>
  </si>
  <si>
    <t xml:space="preserve">MONTANT_TOTAL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</si>
</sst>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General"/>
    <numFmt numFmtId="167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717D7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1B4F72"/>
      <name val="Calibri"/>
      <family val="0"/>
      <charset val="1"/>
    </font>
    <font>
      <b val="true"/>
      <sz val="10"/>
      <color rgb="FF148F77"/>
      <name val="Calibri"/>
      <family val="0"/>
      <charset val="1"/>
    </font>
    <font>
      <b val="true"/>
      <sz val="10"/>
      <color rgb="FFCA6F1E"/>
      <name val="Calibri"/>
      <family val="0"/>
      <charset val="1"/>
    </font>
    <font>
      <i val="true"/>
      <sz val="9"/>
      <color rgb="FFCA6F1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4"/>
      <color rgb="FF0D1B2A"/>
      <name val="Calibri"/>
      <family val="0"/>
      <charset val="1"/>
    </font>
    <font>
      <sz val="10"/>
      <color rgb="FF717D7E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148F77"/>
      <name val="Calibri"/>
      <family val="0"/>
      <charset val="1"/>
    </font>
    <font>
      <b val="true"/>
      <sz val="12"/>
      <color rgb="FFCA6F1E"/>
      <name val="Calibri"/>
      <family val="0"/>
      <charset val="1"/>
    </font>
    <font>
      <b val="true"/>
      <sz val="12"/>
      <color rgb="FF1B4F72"/>
      <name val="Calibri"/>
      <family val="0"/>
      <charset val="1"/>
    </font>
    <font>
      <b val="true"/>
      <sz val="12"/>
      <color rgb="FF717D7E"/>
      <name val="Calibri"/>
      <family val="0"/>
      <charset val="1"/>
    </font>
    <font>
      <b val="true"/>
      <sz val="10"/>
      <color rgb="FF8E44AD"/>
      <name val="Calibri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D6EAF8"/>
        <bgColor rgb="FFD1F2EB"/>
      </patternFill>
    </fill>
    <fill>
      <patternFill patternType="solid">
        <fgColor rgb="FFF4F6F7"/>
        <bgColor rgb="FFF9F9F9"/>
      </patternFill>
    </fill>
    <fill>
      <patternFill patternType="solid">
        <fgColor rgb="FFD1F2EB"/>
        <bgColor rgb="FFD6EAF8"/>
      </patternFill>
    </fill>
    <fill>
      <patternFill patternType="solid">
        <fgColor rgb="FFFFFFFF"/>
        <bgColor rgb="FFF9F9F9"/>
      </patternFill>
    </fill>
    <fill>
      <patternFill patternType="solid">
        <fgColor rgb="FFFDEBD0"/>
        <bgColor rgb="FFF5EEF8"/>
      </patternFill>
    </fill>
    <fill>
      <patternFill patternType="solid">
        <fgColor rgb="FF1B4F72"/>
        <bgColor rgb="FF333399"/>
      </patternFill>
    </fill>
    <fill>
      <patternFill patternType="solid">
        <fgColor rgb="FF2E86C1"/>
        <bgColor rgb="FF4F81BD"/>
      </patternFill>
    </fill>
    <fill>
      <patternFill patternType="solid">
        <fgColor rgb="FFEBF5FB"/>
        <bgColor rgb="FFF4F6F7"/>
      </patternFill>
    </fill>
    <fill>
      <patternFill patternType="solid">
        <fgColor rgb="FF148F77"/>
        <bgColor rgb="FF008080"/>
      </patternFill>
    </fill>
    <fill>
      <patternFill patternType="solid">
        <fgColor rgb="FF8E44AD"/>
        <bgColor rgb="FF993366"/>
      </patternFill>
    </fill>
    <fill>
      <patternFill patternType="solid">
        <fgColor rgb="FFF5EEF8"/>
        <bgColor rgb="FFF4F6F7"/>
      </patternFill>
    </fill>
    <fill>
      <patternFill patternType="solid">
        <fgColor rgb="FFC0392B"/>
        <bgColor rgb="FFE74C3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medium">
        <color rgb="FF2E86C1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2" fillId="1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D1B2A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1B4F72"/>
          <bgColor rgb="FF000000"/>
        </patternFill>
      </fill>
    </dxf>
    <dxf>
      <fill>
        <patternFill patternType="solid">
          <fgColor rgb="FFD1F2EB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148F77"/>
          <bgColor rgb="FF000000"/>
        </patternFill>
      </fill>
    </dxf>
    <dxf>
      <fill>
        <patternFill patternType="solid">
          <fgColor rgb="FFCA6F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A6F1E"/>
      <rgbColor rgb="FF800080"/>
      <rgbColor rgb="FF148F77"/>
      <rgbColor rgb="FFBDC3C7"/>
      <rgbColor rgb="FF878787"/>
      <rgbColor rgb="FF9999FF"/>
      <rgbColor rgb="FF8E44AD"/>
      <rgbColor rgb="FFFDEBD0"/>
      <rgbColor rgb="FFD1F2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BF5FB"/>
      <rgbColor rgb="FFF9F9F9"/>
      <rgbColor rgb="FFF4F6F7"/>
      <rgbColor rgb="FFFF99CC"/>
      <rgbColor rgb="FFCC99FF"/>
      <rgbColor rgb="FFF5EEF8"/>
      <rgbColor rgb="FF2E86C1"/>
      <rgbColor rgb="FF33CCCC"/>
      <rgbColor rgb="FF99CC00"/>
      <rgbColor rgb="FFFFCC00"/>
      <rgbColor rgb="FFD4AC0D"/>
      <rgbColor rgb="FFE74C3C"/>
      <rgbColor rgb="FF717D7E"/>
      <rgbColor rgb="FF969696"/>
      <rgbColor rgb="FF1B4F72"/>
      <rgbColor rgb="FF4F81BD"/>
      <rgbColor rgb="FF0D1B2A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_ChartData!B1</c:f>
              <c:strCache>
                <c:ptCount val="1"/>
                <c:pt idx="0">
                  <c:v>NB_RETRAITS_NON_ABOUTIS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1b4f72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_ChartData!$A$2:$A$6</c:f>
              <c:strCache>
                <c:ptCount val="5"/>
                <c:pt idx="0">
                  <c:v>A001</c:v>
                </c:pt>
                <c:pt idx="1">
                  <c:v>A002</c:v>
                </c:pt>
                <c:pt idx="2">
                  <c:v>A003</c:v>
                </c:pt>
                <c:pt idx="3">
                  <c:v>A004</c:v>
                </c:pt>
                <c:pt idx="4">
                  <c:v>A005</c:v>
                </c:pt>
              </c:strCache>
            </c:strRef>
          </c:cat>
          <c:val>
            <c:numRef>
              <c:f>_ChartData!$B$2:$B$6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</c:ser>
        <c:gapWidth val="150"/>
        <c:overlap val="0"/>
        <c:axId val="6970821"/>
        <c:axId val="49847761"/>
      </c:barChart>
      <c:catAx>
        <c:axId val="69708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Automate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47761"/>
        <c:crosses val="autoZero"/>
        <c:auto val="1"/>
        <c:lblAlgn val="ctr"/>
        <c:lblOffset val="100"/>
        <c:noMultiLvlLbl val="0"/>
      </c:catAx>
      <c:valAx>
        <c:axId val="49847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Nb Retraits Non Aboutis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08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_ChartData!G1</c:f>
              <c:strCache>
                <c:ptCount val="1"/>
                <c:pt idx="0">
                  <c:v>NB_RETRAITS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48f77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a6f1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_ChartData!$F$2:$F$3</c:f>
              <c:strCache>
                <c:ptCount val="2"/>
                <c:pt idx="0">
                  <c:v>Porteur</c:v>
                </c:pt>
                <c:pt idx="1">
                  <c:v>Non porteur</c:v>
                </c:pt>
              </c:strCache>
            </c:strRef>
          </c:cat>
          <c:val>
            <c:numRef>
              <c:f>_ChartData!$G$2:$G$3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_ChartData!J1</c:f>
              <c:strCache>
                <c:ptCount val="1"/>
                <c:pt idx="0">
                  <c:v>MONTANT_TOTAL</c:v>
                </c:pt>
              </c:strCache>
            </c:strRef>
          </c:tx>
          <c:spPr>
            <a:solidFill>
              <a:srgbClr val="8e44ad"/>
            </a:solidFill>
            <a:ln w="24840">
              <a:solidFill>
                <a:srgbClr val="8e44ad"/>
              </a:solidFill>
              <a:round/>
            </a:ln>
          </c:spPr>
          <c:marker>
            <c:symbol val="circle"/>
            <c:size val="6"/>
            <c:spPr>
              <a:solidFill>
                <a:srgbClr val="8e44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_ChartData!$I$2:$I$16</c:f>
              <c:strCache>
                <c:ptCount val="15"/>
                <c:pt idx="0">
                  <c:v>15012025</c:v>
                </c:pt>
                <c:pt idx="1">
                  <c:v>22012025</c:v>
                </c:pt>
                <c:pt idx="2">
                  <c:v>03022025</c:v>
                </c:pt>
                <c:pt idx="3">
                  <c:v>14022025</c:v>
                </c:pt>
                <c:pt idx="4">
                  <c:v>28022025</c:v>
                </c:pt>
                <c:pt idx="5">
                  <c:v>10032025</c:v>
                </c:pt>
                <c:pt idx="6">
                  <c:v>25032025</c:v>
                </c:pt>
                <c:pt idx="7">
                  <c:v>02042025</c:v>
                </c:pt>
                <c:pt idx="8">
                  <c:v>18042025</c:v>
                </c:pt>
                <c:pt idx="9">
                  <c:v>05052025</c:v>
                </c:pt>
                <c:pt idx="10">
                  <c:v>12052025</c:v>
                </c:pt>
                <c:pt idx="11">
                  <c:v>28052025</c:v>
                </c:pt>
                <c:pt idx="12">
                  <c:v>04062025</c:v>
                </c:pt>
                <c:pt idx="13">
                  <c:v>19062025</c:v>
                </c:pt>
                <c:pt idx="14">
                  <c:v>30062025</c:v>
                </c:pt>
              </c:strCache>
            </c:strRef>
          </c:cat>
          <c:val>
            <c:numRef>
              <c:f>_ChartData!$J$2:$J$16</c:f>
              <c:numCache>
                <c:formatCode>General</c:formatCode>
                <c:ptCount val="15"/>
                <c:pt idx="0">
                  <c:v>250</c:v>
                </c:pt>
                <c:pt idx="1">
                  <c:v>100</c:v>
                </c:pt>
                <c:pt idx="2">
                  <c:v>500</c:v>
                </c:pt>
                <c:pt idx="3">
                  <c:v>300</c:v>
                </c:pt>
                <c:pt idx="4">
                  <c:v>150</c:v>
                </c:pt>
                <c:pt idx="5">
                  <c:v>200</c:v>
                </c:pt>
                <c:pt idx="6">
                  <c:v>450</c:v>
                </c:pt>
                <c:pt idx="7">
                  <c:v>350</c:v>
                </c:pt>
                <c:pt idx="8">
                  <c:v>600</c:v>
                </c:pt>
                <c:pt idx="9">
                  <c:v>275</c:v>
                </c:pt>
                <c:pt idx="10">
                  <c:v>180</c:v>
                </c:pt>
                <c:pt idx="11">
                  <c:v>420</c:v>
                </c:pt>
                <c:pt idx="12">
                  <c:v>310</c:v>
                </c:pt>
                <c:pt idx="13">
                  <c:v>540</c:v>
                </c:pt>
                <c:pt idx="14">
                  <c:v>220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2004113"/>
        <c:axId val="11232504"/>
      </c:lineChart>
      <c:catAx>
        <c:axId val="82004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32504"/>
        <c:crosses val="autoZero"/>
        <c:auto val="1"/>
        <c:lblAlgn val="ctr"/>
        <c:lblOffset val="100"/>
        <c:noMultiLvlLbl val="0"/>
      </c:catAx>
      <c:valAx>
        <c:axId val="11232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Montant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04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7</xdr:col>
      <xdr:colOff>105840</xdr:colOff>
      <xdr:row>24</xdr:row>
      <xdr:rowOff>185760</xdr:rowOff>
    </xdr:to>
    <xdr:graphicFrame>
      <xdr:nvGraphicFramePr>
        <xdr:cNvPr id="0" name="Chart 1"/>
        <xdr:cNvGraphicFramePr/>
      </xdr:nvGraphicFramePr>
      <xdr:xfrm>
        <a:off x="0" y="11620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</xdr:row>
      <xdr:rowOff>0</xdr:rowOff>
    </xdr:from>
    <xdr:to>
      <xdr:col>15</xdr:col>
      <xdr:colOff>105480</xdr:colOff>
      <xdr:row>24</xdr:row>
      <xdr:rowOff>185760</xdr:rowOff>
    </xdr:to>
    <xdr:graphicFrame>
      <xdr:nvGraphicFramePr>
        <xdr:cNvPr id="1" name="Chart 2"/>
        <xdr:cNvGraphicFramePr/>
      </xdr:nvGraphicFramePr>
      <xdr:xfrm>
        <a:off x="5638680" y="11620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0</xdr:rowOff>
    </xdr:from>
    <xdr:to>
      <xdr:col>14</xdr:col>
      <xdr:colOff>211680</xdr:colOff>
      <xdr:row>44</xdr:row>
      <xdr:rowOff>128880</xdr:rowOff>
    </xdr:to>
    <xdr:graphicFrame>
      <xdr:nvGraphicFramePr>
        <xdr:cNvPr id="2" name="Chart 3"/>
        <xdr:cNvGraphicFramePr/>
      </xdr:nvGraphicFramePr>
      <xdr:xfrm>
        <a:off x="0" y="4915080"/>
        <a:ext cx="100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Source" displayName="DataSource" ref="A4:H19" headerRowCount="1" totalsRowCount="0" totalsRowShown="0">
  <autoFilter ref="A4:H19"/>
  <tableColumns count="8">
    <tableColumn id="1" name="DATE_OPERATION&#10;(DDMMYYYY)"/>
    <tableColumn id="2" name="NUM_AUTOMATE"/>
    <tableColumn id="3" name="LIB_SIT_&#10;IMPLEMENTATION"/>
    <tableColumn id="4" name="CODE_SITE_&#10;IMPLEMENTATION"/>
    <tableColumn id="5" name="TYPE_PORTEUR"/>
    <tableColumn id="6" name="NB_RETRAIT_&#10;NON_ABOUTIS"/>
    <tableColumn id="7" name="MONTANT"/>
    <tableColumn id="8" name="MOTI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9.5" hidden="false" customHeight="true" outlineLevel="0" collapsed="false">
      <c r="A5" s="4" t="s">
        <v>10</v>
      </c>
      <c r="B5" s="5" t="s">
        <v>11</v>
      </c>
      <c r="C5" s="6" t="s">
        <v>12</v>
      </c>
      <c r="D5" s="4" t="s">
        <v>13</v>
      </c>
      <c r="E5" s="7" t="s">
        <v>14</v>
      </c>
      <c r="F5" s="4" t="n">
        <v>1</v>
      </c>
      <c r="G5" s="8" t="n">
        <v>250</v>
      </c>
      <c r="H5" s="4"/>
    </row>
    <row r="6" customFormat="false" ht="19.5" hidden="false" customHeight="true" outlineLevel="0" collapsed="false">
      <c r="A6" s="9" t="s">
        <v>15</v>
      </c>
      <c r="B6" s="10" t="s">
        <v>16</v>
      </c>
      <c r="C6" s="11" t="s">
        <v>17</v>
      </c>
      <c r="D6" s="9" t="s">
        <v>18</v>
      </c>
      <c r="E6" s="12" t="s">
        <v>19</v>
      </c>
      <c r="F6" s="9" t="n">
        <v>1</v>
      </c>
      <c r="G6" s="13" t="n">
        <v>100</v>
      </c>
      <c r="H6" s="9"/>
    </row>
    <row r="7" customFormat="false" ht="19.5" hidden="false" customHeight="true" outlineLevel="0" collapsed="false">
      <c r="A7" s="4" t="s">
        <v>20</v>
      </c>
      <c r="B7" s="5" t="s">
        <v>21</v>
      </c>
      <c r="C7" s="6" t="s">
        <v>22</v>
      </c>
      <c r="D7" s="4" t="s">
        <v>23</v>
      </c>
      <c r="E7" s="7" t="s">
        <v>14</v>
      </c>
      <c r="F7" s="4" t="n">
        <v>2</v>
      </c>
      <c r="G7" s="8" t="n">
        <v>500</v>
      </c>
      <c r="H7" s="4"/>
    </row>
    <row r="8" customFormat="false" ht="19.5" hidden="false" customHeight="true" outlineLevel="0" collapsed="false">
      <c r="A8" s="9" t="s">
        <v>24</v>
      </c>
      <c r="B8" s="10" t="s">
        <v>25</v>
      </c>
      <c r="C8" s="11" t="s">
        <v>26</v>
      </c>
      <c r="D8" s="9" t="s">
        <v>27</v>
      </c>
      <c r="E8" s="12" t="s">
        <v>19</v>
      </c>
      <c r="F8" s="9" t="n">
        <v>1</v>
      </c>
      <c r="G8" s="13" t="n">
        <v>300</v>
      </c>
      <c r="H8" s="9"/>
    </row>
    <row r="9" customFormat="false" ht="19.5" hidden="false" customHeight="true" outlineLevel="0" collapsed="false">
      <c r="A9" s="4" t="s">
        <v>28</v>
      </c>
      <c r="B9" s="5" t="s">
        <v>29</v>
      </c>
      <c r="C9" s="6" t="s">
        <v>30</v>
      </c>
      <c r="D9" s="4" t="s">
        <v>31</v>
      </c>
      <c r="E9" s="7" t="s">
        <v>14</v>
      </c>
      <c r="F9" s="4" t="n">
        <v>1</v>
      </c>
      <c r="G9" s="8" t="n">
        <v>150</v>
      </c>
      <c r="H9" s="4"/>
    </row>
    <row r="10" customFormat="false" ht="19.5" hidden="false" customHeight="true" outlineLevel="0" collapsed="false">
      <c r="A10" s="9" t="s">
        <v>32</v>
      </c>
      <c r="B10" s="10" t="s">
        <v>11</v>
      </c>
      <c r="C10" s="11" t="s">
        <v>12</v>
      </c>
      <c r="D10" s="9" t="s">
        <v>13</v>
      </c>
      <c r="E10" s="12" t="s">
        <v>19</v>
      </c>
      <c r="F10" s="9" t="n">
        <v>1</v>
      </c>
      <c r="G10" s="13" t="n">
        <v>200</v>
      </c>
      <c r="H10" s="9"/>
    </row>
    <row r="11" customFormat="false" ht="19.5" hidden="false" customHeight="true" outlineLevel="0" collapsed="false">
      <c r="A11" s="4" t="s">
        <v>33</v>
      </c>
      <c r="B11" s="5" t="s">
        <v>16</v>
      </c>
      <c r="C11" s="6" t="s">
        <v>17</v>
      </c>
      <c r="D11" s="4" t="s">
        <v>18</v>
      </c>
      <c r="E11" s="7" t="s">
        <v>14</v>
      </c>
      <c r="F11" s="4" t="n">
        <v>2</v>
      </c>
      <c r="G11" s="8" t="n">
        <v>450</v>
      </c>
      <c r="H11" s="4"/>
    </row>
    <row r="12" customFormat="false" ht="19.5" hidden="false" customHeight="true" outlineLevel="0" collapsed="false">
      <c r="A12" s="9" t="s">
        <v>34</v>
      </c>
      <c r="B12" s="10" t="s">
        <v>21</v>
      </c>
      <c r="C12" s="11" t="s">
        <v>22</v>
      </c>
      <c r="D12" s="9" t="s">
        <v>23</v>
      </c>
      <c r="E12" s="12" t="s">
        <v>19</v>
      </c>
      <c r="F12" s="9" t="n">
        <v>1</v>
      </c>
      <c r="G12" s="13" t="n">
        <v>350</v>
      </c>
      <c r="H12" s="9"/>
    </row>
    <row r="13" customFormat="false" ht="19.5" hidden="false" customHeight="true" outlineLevel="0" collapsed="false">
      <c r="A13" s="4" t="s">
        <v>35</v>
      </c>
      <c r="B13" s="5" t="s">
        <v>25</v>
      </c>
      <c r="C13" s="6" t="s">
        <v>26</v>
      </c>
      <c r="D13" s="4" t="s">
        <v>27</v>
      </c>
      <c r="E13" s="7" t="s">
        <v>14</v>
      </c>
      <c r="F13" s="4" t="n">
        <v>3</v>
      </c>
      <c r="G13" s="8" t="n">
        <v>600</v>
      </c>
      <c r="H13" s="4"/>
    </row>
    <row r="14" customFormat="false" ht="19.5" hidden="false" customHeight="true" outlineLevel="0" collapsed="false">
      <c r="A14" s="9" t="s">
        <v>36</v>
      </c>
      <c r="B14" s="10" t="s">
        <v>29</v>
      </c>
      <c r="C14" s="11" t="s">
        <v>30</v>
      </c>
      <c r="D14" s="9" t="s">
        <v>31</v>
      </c>
      <c r="E14" s="12" t="s">
        <v>19</v>
      </c>
      <c r="F14" s="9" t="n">
        <v>1</v>
      </c>
      <c r="G14" s="13" t="n">
        <v>275</v>
      </c>
      <c r="H14" s="9"/>
    </row>
    <row r="15" customFormat="false" ht="19.5" hidden="false" customHeight="true" outlineLevel="0" collapsed="false">
      <c r="A15" s="4" t="s">
        <v>37</v>
      </c>
      <c r="B15" s="5" t="s">
        <v>11</v>
      </c>
      <c r="C15" s="6" t="s">
        <v>12</v>
      </c>
      <c r="D15" s="4" t="s">
        <v>13</v>
      </c>
      <c r="E15" s="7" t="s">
        <v>14</v>
      </c>
      <c r="F15" s="4" t="n">
        <v>1</v>
      </c>
      <c r="G15" s="8" t="n">
        <v>180</v>
      </c>
      <c r="H15" s="4"/>
    </row>
    <row r="16" customFormat="false" ht="19.5" hidden="false" customHeight="true" outlineLevel="0" collapsed="false">
      <c r="A16" s="9" t="s">
        <v>38</v>
      </c>
      <c r="B16" s="10" t="s">
        <v>16</v>
      </c>
      <c r="C16" s="11" t="s">
        <v>17</v>
      </c>
      <c r="D16" s="9" t="s">
        <v>18</v>
      </c>
      <c r="E16" s="12" t="s">
        <v>19</v>
      </c>
      <c r="F16" s="9" t="n">
        <v>2</v>
      </c>
      <c r="G16" s="13" t="n">
        <v>420</v>
      </c>
      <c r="H16" s="9"/>
    </row>
    <row r="17" customFormat="false" ht="19.5" hidden="false" customHeight="true" outlineLevel="0" collapsed="false">
      <c r="A17" s="4" t="s">
        <v>39</v>
      </c>
      <c r="B17" s="5" t="s">
        <v>21</v>
      </c>
      <c r="C17" s="6" t="s">
        <v>22</v>
      </c>
      <c r="D17" s="4" t="s">
        <v>23</v>
      </c>
      <c r="E17" s="7" t="s">
        <v>14</v>
      </c>
      <c r="F17" s="4" t="n">
        <v>1</v>
      </c>
      <c r="G17" s="8" t="n">
        <v>310</v>
      </c>
      <c r="H17" s="4"/>
    </row>
    <row r="18" customFormat="false" ht="19.5" hidden="false" customHeight="true" outlineLevel="0" collapsed="false">
      <c r="A18" s="9" t="s">
        <v>40</v>
      </c>
      <c r="B18" s="10" t="s">
        <v>25</v>
      </c>
      <c r="C18" s="11" t="s">
        <v>26</v>
      </c>
      <c r="D18" s="9" t="s">
        <v>27</v>
      </c>
      <c r="E18" s="12" t="s">
        <v>19</v>
      </c>
      <c r="F18" s="9" t="n">
        <v>2</v>
      </c>
      <c r="G18" s="13" t="n">
        <v>540</v>
      </c>
      <c r="H18" s="9"/>
    </row>
    <row r="19" customFormat="false" ht="19.5" hidden="false" customHeight="true" outlineLevel="0" collapsed="false">
      <c r="A19" s="4" t="s">
        <v>41</v>
      </c>
      <c r="B19" s="5" t="s">
        <v>29</v>
      </c>
      <c r="C19" s="6" t="s">
        <v>30</v>
      </c>
      <c r="D19" s="4" t="s">
        <v>31</v>
      </c>
      <c r="E19" s="7" t="s">
        <v>14</v>
      </c>
      <c r="F19" s="4" t="n">
        <v>1</v>
      </c>
      <c r="G19" s="8" t="n">
        <v>220</v>
      </c>
      <c r="H19" s="4"/>
    </row>
    <row r="21" customFormat="false" ht="15" hidden="false" customHeight="false" outlineLevel="0" collapsed="false">
      <c r="A21" s="14" t="s">
        <v>42</v>
      </c>
      <c r="B21" s="14"/>
      <c r="C21" s="14"/>
      <c r="D21" s="14"/>
      <c r="E21" s="14"/>
      <c r="F21" s="14"/>
      <c r="G21" s="14"/>
      <c r="H21" s="14"/>
    </row>
  </sheetData>
  <mergeCells count="3">
    <mergeCell ref="A1:H1"/>
    <mergeCell ref="A2:H2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48" hidden="false" customHeight="true" outlineLevel="0" collapsed="false">
      <c r="A1" s="15" t="s">
        <v>43</v>
      </c>
      <c r="B1" s="15"/>
      <c r="C1" s="15"/>
      <c r="D1" s="15"/>
      <c r="E1" s="15"/>
      <c r="F1" s="15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5.5" hidden="false" customHeight="true" outlineLevel="0" collapsed="false">
      <c r="A4" s="16" t="s">
        <v>45</v>
      </c>
      <c r="B4" s="16"/>
      <c r="C4" s="16"/>
      <c r="D4" s="16"/>
      <c r="E4" s="16"/>
      <c r="F4" s="16"/>
    </row>
    <row r="5" customFormat="false" ht="30" hidden="false" customHeight="true" outlineLevel="0" collapsed="false">
      <c r="A5" s="17" t="s">
        <v>46</v>
      </c>
      <c r="B5" s="17" t="s">
        <v>47</v>
      </c>
      <c r="C5" s="17" t="s">
        <v>48</v>
      </c>
      <c r="D5" s="17" t="s">
        <v>49</v>
      </c>
      <c r="E5" s="17" t="s">
        <v>50</v>
      </c>
      <c r="F5" s="17" t="s">
        <v>51</v>
      </c>
    </row>
    <row r="6" customFormat="false" ht="37.5" hidden="false" customHeight="true" outlineLevel="0" collapsed="false">
      <c r="A6" s="18" t="n">
        <f aca="false">COUNTA('📥 Data Source'!B5:B5000)</f>
        <v>15</v>
      </c>
      <c r="B6" s="18" t="n">
        <f aca="false">SUM('📥 Data Source'!F5:F5000)</f>
        <v>21</v>
      </c>
      <c r="C6" s="19" t="n">
        <f aca="false">SUM('📥 Data Source'!G5:G5000)</f>
        <v>4845</v>
      </c>
      <c r="D6" s="18" t="n">
        <f aca="false">COUNTIF('📥 Data Source'!E5:E5000,"Porteur")</f>
        <v>8</v>
      </c>
      <c r="E6" s="18" t="n">
        <f aca="false">SUMIF('📥 Data Source'!E5:E5000,"Porteur",'📥 Data Source'!F5:F5000)</f>
        <v>12</v>
      </c>
      <c r="F6" s="19" t="n">
        <f aca="false">SUMIF('📥 Data Source'!E5:E5000,"Porteur",'📥 Data Source'!G5:G5000)</f>
        <v>2660</v>
      </c>
    </row>
    <row r="7" customFormat="false" ht="9.75" hidden="false" customHeight="true" outlineLevel="0" collapsed="false"/>
    <row r="8" customFormat="false" ht="25.5" hidden="false" customHeight="true" outlineLevel="0" collapsed="false">
      <c r="A8" s="20" t="s">
        <v>52</v>
      </c>
      <c r="B8" s="20"/>
      <c r="C8" s="20"/>
      <c r="D8" s="20"/>
      <c r="E8" s="20"/>
      <c r="F8" s="20"/>
    </row>
    <row r="9" customFormat="false" ht="33.75" hidden="false" customHeight="true" outlineLevel="0" collapsed="false">
      <c r="A9" s="21" t="s">
        <v>3</v>
      </c>
      <c r="B9" s="21" t="s">
        <v>53</v>
      </c>
      <c r="C9" s="21" t="s">
        <v>54</v>
      </c>
      <c r="D9" s="21" t="s">
        <v>55</v>
      </c>
      <c r="E9" s="21" t="s">
        <v>56</v>
      </c>
      <c r="F9" s="21" t="s">
        <v>57</v>
      </c>
    </row>
    <row r="10" customFormat="false" ht="21.75" hidden="false" customHeight="true" outlineLevel="0" collapsed="false">
      <c r="A10" s="22" t="s">
        <v>11</v>
      </c>
      <c r="B10" s="23" t="s">
        <v>12</v>
      </c>
      <c r="C10" s="24" t="n">
        <f aca="false">SUMIF('📥 Data Source'!B5:B5000,"A001",'📥 Data Source'!F5:F5000)</f>
        <v>3</v>
      </c>
      <c r="D10" s="25" t="n">
        <f aca="false">SUMIF('📥 Data Source'!B5:B5000,"A001",'📥 Data Source'!G5:G5000)</f>
        <v>630</v>
      </c>
      <c r="E10" s="24" t="n">
        <f aca="false">COUNTIFS('📥 Data Source'!B5:B5000,"A001",'📥 Data Source'!E5:E5000,"Porteur")</f>
        <v>2</v>
      </c>
      <c r="F10" s="24" t="n">
        <f aca="false">COUNTIFS('📥 Data Source'!B5:B5000,"A001",'📥 Data Source'!E5:E5000,"Non porteur")</f>
        <v>1</v>
      </c>
    </row>
    <row r="11" customFormat="false" ht="21.75" hidden="false" customHeight="true" outlineLevel="0" collapsed="false">
      <c r="A11" s="10" t="s">
        <v>16</v>
      </c>
      <c r="B11" s="26" t="s">
        <v>17</v>
      </c>
      <c r="C11" s="27" t="n">
        <f aca="false">SUMIF('📥 Data Source'!B5:B5000,"A002",'📥 Data Source'!F5:F5000)</f>
        <v>5</v>
      </c>
      <c r="D11" s="28" t="n">
        <f aca="false">SUMIF('📥 Data Source'!B5:B5000,"A002",'📥 Data Source'!G5:G5000)</f>
        <v>970</v>
      </c>
      <c r="E11" s="27" t="n">
        <f aca="false">COUNTIFS('📥 Data Source'!B5:B5000,"A002",'📥 Data Source'!E5:E5000,"Porteur")</f>
        <v>1</v>
      </c>
      <c r="F11" s="27" t="n">
        <f aca="false">COUNTIFS('📥 Data Source'!B5:B5000,"A002",'📥 Data Source'!E5:E5000,"Non porteur")</f>
        <v>2</v>
      </c>
    </row>
    <row r="12" customFormat="false" ht="21.75" hidden="false" customHeight="true" outlineLevel="0" collapsed="false">
      <c r="A12" s="22" t="s">
        <v>21</v>
      </c>
      <c r="B12" s="23" t="s">
        <v>22</v>
      </c>
      <c r="C12" s="24" t="n">
        <f aca="false">SUMIF('📥 Data Source'!B5:B5000,"A003",'📥 Data Source'!F5:F5000)</f>
        <v>4</v>
      </c>
      <c r="D12" s="25" t="n">
        <f aca="false">SUMIF('📥 Data Source'!B5:B5000,"A003",'📥 Data Source'!G5:G5000)</f>
        <v>1160</v>
      </c>
      <c r="E12" s="24" t="n">
        <f aca="false">COUNTIFS('📥 Data Source'!B5:B5000,"A003",'📥 Data Source'!E5:E5000,"Porteur")</f>
        <v>2</v>
      </c>
      <c r="F12" s="24" t="n">
        <f aca="false">COUNTIFS('📥 Data Source'!B5:B5000,"A003",'📥 Data Source'!E5:E5000,"Non porteur")</f>
        <v>1</v>
      </c>
    </row>
    <row r="13" customFormat="false" ht="21.75" hidden="false" customHeight="true" outlineLevel="0" collapsed="false">
      <c r="A13" s="10" t="s">
        <v>25</v>
      </c>
      <c r="B13" s="26" t="s">
        <v>26</v>
      </c>
      <c r="C13" s="27" t="n">
        <f aca="false">SUMIF('📥 Data Source'!B5:B5000,"A004",'📥 Data Source'!F5:F5000)</f>
        <v>6</v>
      </c>
      <c r="D13" s="28" t="n">
        <f aca="false">SUMIF('📥 Data Source'!B5:B5000,"A004",'📥 Data Source'!G5:G5000)</f>
        <v>1440</v>
      </c>
      <c r="E13" s="27" t="n">
        <f aca="false">COUNTIFS('📥 Data Source'!B5:B5000,"A004",'📥 Data Source'!E5:E5000,"Porteur")</f>
        <v>1</v>
      </c>
      <c r="F13" s="27" t="n">
        <f aca="false">COUNTIFS('📥 Data Source'!B5:B5000,"A004",'📥 Data Source'!E5:E5000,"Non porteur")</f>
        <v>2</v>
      </c>
    </row>
    <row r="14" customFormat="false" ht="21.75" hidden="false" customHeight="true" outlineLevel="0" collapsed="false">
      <c r="A14" s="22" t="s">
        <v>29</v>
      </c>
      <c r="B14" s="23" t="s">
        <v>30</v>
      </c>
      <c r="C14" s="24" t="n">
        <f aca="false">SUMIF('📥 Data Source'!B5:B5000,"A005",'📥 Data Source'!F5:F5000)</f>
        <v>3</v>
      </c>
      <c r="D14" s="25" t="n">
        <f aca="false">SUMIF('📥 Data Source'!B5:B5000,"A005",'📥 Data Source'!G5:G5000)</f>
        <v>645</v>
      </c>
      <c r="E14" s="24" t="n">
        <f aca="false">COUNTIFS('📥 Data Source'!B5:B5000,"A005",'📥 Data Source'!E5:E5000,"Porteur")</f>
        <v>2</v>
      </c>
      <c r="F14" s="24" t="n">
        <f aca="false">COUNTIFS('📥 Data Source'!B5:B5000,"A005",'📥 Data Source'!E5:E5000,"Non porteur")</f>
        <v>1</v>
      </c>
    </row>
    <row r="15" customFormat="false" ht="25.5" hidden="false" customHeight="true" outlineLevel="0" collapsed="false">
      <c r="A15" s="3" t="s">
        <v>58</v>
      </c>
      <c r="B15" s="29"/>
      <c r="C15" s="30" t="n">
        <f aca="false">SUM(C10:C14)</f>
        <v>21</v>
      </c>
      <c r="D15" s="31" t="n">
        <f aca="false">SUM(D10:D14)</f>
        <v>4845</v>
      </c>
      <c r="E15" s="30" t="n">
        <f aca="false">SUM(E10:E14)</f>
        <v>8</v>
      </c>
      <c r="F15" s="30" t="n">
        <f aca="false">SUM(F10:F14)</f>
        <v>7</v>
      </c>
    </row>
  </sheetData>
  <mergeCells count="4">
    <mergeCell ref="A1:F1"/>
    <mergeCell ref="A2:F2"/>
    <mergeCell ref="A4:F4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8F77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48" hidden="false" customHeight="true" outlineLevel="0" collapsed="false">
      <c r="A1" s="32" t="s">
        <v>59</v>
      </c>
      <c r="B1" s="32"/>
      <c r="C1" s="32"/>
      <c r="D1" s="32"/>
      <c r="E1" s="32"/>
      <c r="F1" s="32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5.5" hidden="false" customHeight="true" outlineLevel="0" collapsed="false">
      <c r="A4" s="33" t="s">
        <v>60</v>
      </c>
      <c r="B4" s="33"/>
      <c r="C4" s="33"/>
      <c r="D4" s="33"/>
      <c r="E4" s="33"/>
      <c r="F4" s="33"/>
    </row>
    <row r="5" customFormat="false" ht="33.75" hidden="false" customHeight="true" outlineLevel="0" collapsed="false">
      <c r="A5" s="34" t="s">
        <v>61</v>
      </c>
      <c r="B5" s="34" t="s">
        <v>62</v>
      </c>
      <c r="C5" s="34" t="s">
        <v>54</v>
      </c>
      <c r="D5" s="34" t="s">
        <v>55</v>
      </c>
      <c r="E5" s="34" t="s">
        <v>56</v>
      </c>
      <c r="F5" s="34" t="s">
        <v>57</v>
      </c>
    </row>
    <row r="6" customFormat="false" ht="21.75" hidden="false" customHeight="true" outlineLevel="0" collapsed="false">
      <c r="A6" s="7" t="s">
        <v>13</v>
      </c>
      <c r="B6" s="35" t="s">
        <v>12</v>
      </c>
      <c r="C6" s="36" t="n">
        <f aca="false">SUMIF('📥 Data Source'!D5:D5000,"SIT001",'📥 Data Source'!F5:F5000)</f>
        <v>3</v>
      </c>
      <c r="D6" s="37" t="n">
        <f aca="false">SUMIF('📥 Data Source'!D5:D5000,"SIT001",'📥 Data Source'!G5:G5000)</f>
        <v>630</v>
      </c>
      <c r="E6" s="36" t="n">
        <f aca="false">COUNTIFS('📥 Data Source'!D5:D5000,"SIT001",'📥 Data Source'!E5:E5000,"Porteur")</f>
        <v>2</v>
      </c>
      <c r="F6" s="36" t="n">
        <f aca="false">COUNTIFS('📥 Data Source'!D5:D5000,"SIT001",'📥 Data Source'!E5:E5000,"Non porteur")</f>
        <v>1</v>
      </c>
    </row>
    <row r="7" customFormat="false" ht="21.75" hidden="false" customHeight="true" outlineLevel="0" collapsed="false">
      <c r="A7" s="38" t="s">
        <v>18</v>
      </c>
      <c r="B7" s="26" t="s">
        <v>17</v>
      </c>
      <c r="C7" s="27" t="n">
        <f aca="false">SUMIF('📥 Data Source'!D5:D5000,"SIT002",'📥 Data Source'!F5:F5000)</f>
        <v>5</v>
      </c>
      <c r="D7" s="28" t="n">
        <f aca="false">SUMIF('📥 Data Source'!D5:D5000,"SIT002",'📥 Data Source'!G5:G5000)</f>
        <v>970</v>
      </c>
      <c r="E7" s="27" t="n">
        <f aca="false">COUNTIFS('📥 Data Source'!D5:D5000,"SIT002",'📥 Data Source'!E5:E5000,"Porteur")</f>
        <v>1</v>
      </c>
      <c r="F7" s="27" t="n">
        <f aca="false">COUNTIFS('📥 Data Source'!D5:D5000,"SIT002",'📥 Data Source'!E5:E5000,"Non porteur")</f>
        <v>2</v>
      </c>
    </row>
    <row r="8" customFormat="false" ht="21.75" hidden="false" customHeight="true" outlineLevel="0" collapsed="false">
      <c r="A8" s="7" t="s">
        <v>23</v>
      </c>
      <c r="B8" s="35" t="s">
        <v>22</v>
      </c>
      <c r="C8" s="36" t="n">
        <f aca="false">SUMIF('📥 Data Source'!D5:D5000,"SIT003",'📥 Data Source'!F5:F5000)</f>
        <v>4</v>
      </c>
      <c r="D8" s="37" t="n">
        <f aca="false">SUMIF('📥 Data Source'!D5:D5000,"SIT003",'📥 Data Source'!G5:G5000)</f>
        <v>1160</v>
      </c>
      <c r="E8" s="36" t="n">
        <f aca="false">COUNTIFS('📥 Data Source'!D5:D5000,"SIT003",'📥 Data Source'!E5:E5000,"Porteur")</f>
        <v>2</v>
      </c>
      <c r="F8" s="36" t="n">
        <f aca="false">COUNTIFS('📥 Data Source'!D5:D5000,"SIT003",'📥 Data Source'!E5:E5000,"Non porteur")</f>
        <v>1</v>
      </c>
    </row>
    <row r="9" customFormat="false" ht="21.75" hidden="false" customHeight="true" outlineLevel="0" collapsed="false">
      <c r="A9" s="38" t="s">
        <v>27</v>
      </c>
      <c r="B9" s="26" t="s">
        <v>26</v>
      </c>
      <c r="C9" s="27" t="n">
        <f aca="false">SUMIF('📥 Data Source'!D5:D5000,"SIT004",'📥 Data Source'!F5:F5000)</f>
        <v>6</v>
      </c>
      <c r="D9" s="28" t="n">
        <f aca="false">SUMIF('📥 Data Source'!D5:D5000,"SIT004",'📥 Data Source'!G5:G5000)</f>
        <v>1440</v>
      </c>
      <c r="E9" s="27" t="n">
        <f aca="false">COUNTIFS('📥 Data Source'!D5:D5000,"SIT004",'📥 Data Source'!E5:E5000,"Porteur")</f>
        <v>1</v>
      </c>
      <c r="F9" s="27" t="n">
        <f aca="false">COUNTIFS('📥 Data Source'!D5:D5000,"SIT004",'📥 Data Source'!E5:E5000,"Non porteur")</f>
        <v>2</v>
      </c>
    </row>
    <row r="10" customFormat="false" ht="21.75" hidden="false" customHeight="true" outlineLevel="0" collapsed="false">
      <c r="A10" s="7" t="s">
        <v>31</v>
      </c>
      <c r="B10" s="35" t="s">
        <v>30</v>
      </c>
      <c r="C10" s="36" t="n">
        <f aca="false">SUMIF('📥 Data Source'!D5:D5000,"SIT005",'📥 Data Source'!F5:F5000)</f>
        <v>3</v>
      </c>
      <c r="D10" s="37" t="n">
        <f aca="false">SUMIF('📥 Data Source'!D5:D5000,"SIT005",'📥 Data Source'!G5:G5000)</f>
        <v>645</v>
      </c>
      <c r="E10" s="36" t="n">
        <f aca="false">COUNTIFS('📥 Data Source'!D5:D5000,"SIT005",'📥 Data Source'!E5:E5000,"Porteur")</f>
        <v>2</v>
      </c>
      <c r="F10" s="36" t="n">
        <f aca="false">COUNTIFS('📥 Data Source'!D5:D5000,"SIT005",'📥 Data Source'!E5:E5000,"Non porteur")</f>
        <v>1</v>
      </c>
    </row>
    <row r="11" customFormat="false" ht="25.5" hidden="false" customHeight="true" outlineLevel="0" collapsed="false">
      <c r="A11" s="39" t="s">
        <v>58</v>
      </c>
      <c r="B11" s="40"/>
      <c r="C11" s="41" t="n">
        <f aca="false">SUM(C6:C10)</f>
        <v>21</v>
      </c>
      <c r="D11" s="42" t="n">
        <f aca="false">SUM(D6:D10)</f>
        <v>4845</v>
      </c>
      <c r="E11" s="41" t="n">
        <f aca="false">SUM(E6:E10)</f>
        <v>8</v>
      </c>
      <c r="F11" s="41" t="n">
        <f aca="false">SUM(F6:F10)</f>
        <v>7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C0D"/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8"/>
    <col collapsed="false" customWidth="true" hidden="false" outlineLevel="0" max="5" min="5" style="0" width="16"/>
  </cols>
  <sheetData>
    <row r="1" customFormat="false" ht="48" hidden="false" customHeight="true" outlineLevel="0" collapsed="false">
      <c r="A1" s="1" t="s">
        <v>63</v>
      </c>
      <c r="B1" s="1"/>
      <c r="C1" s="1"/>
      <c r="D1" s="1"/>
      <c r="E1" s="1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16" t="s">
        <v>64</v>
      </c>
      <c r="B4" s="16"/>
      <c r="C4" s="16"/>
      <c r="D4" s="16"/>
      <c r="E4" s="16"/>
    </row>
    <row r="5" customFormat="false" ht="27.75" hidden="false" customHeight="true" outlineLevel="0" collapsed="false">
      <c r="A5" s="3" t="s">
        <v>65</v>
      </c>
      <c r="B5" s="3" t="s">
        <v>66</v>
      </c>
      <c r="C5" s="3" t="s">
        <v>67</v>
      </c>
      <c r="D5" s="3" t="s">
        <v>58</v>
      </c>
      <c r="E5" s="3" t="s">
        <v>68</v>
      </c>
    </row>
    <row r="6" customFormat="false" ht="24" hidden="false" customHeight="true" outlineLevel="0" collapsed="false">
      <c r="A6" s="43" t="s">
        <v>69</v>
      </c>
      <c r="B6" s="44" t="n">
        <f aca="false">COUNTIF('📥 Data Source'!E5:E5000,"Porteur")</f>
        <v>8</v>
      </c>
      <c r="C6" s="45" t="n">
        <f aca="false">COUNTIF('📥 Data Source'!E5:E5000,"Non porteur")</f>
        <v>7</v>
      </c>
      <c r="D6" s="46" t="n">
        <f aca="false">B6+C6</f>
        <v>15</v>
      </c>
      <c r="E6" s="47" t="n">
        <f aca="false">IFERROR(B6/D6,0)</f>
        <v>0.533333333333333</v>
      </c>
    </row>
    <row r="7" customFormat="false" ht="24" hidden="false" customHeight="true" outlineLevel="0" collapsed="false">
      <c r="A7" s="43" t="s">
        <v>70</v>
      </c>
      <c r="B7" s="44" t="n">
        <f aca="false">SUMIF('📥 Data Source'!E5:E5000,"Porteur",'📥 Data Source'!F5:F5000)</f>
        <v>12</v>
      </c>
      <c r="C7" s="45" t="n">
        <f aca="false">SUMIF('📥 Data Source'!E5:E5000,"Non porteur",'📥 Data Source'!F5:F5000)</f>
        <v>9</v>
      </c>
      <c r="D7" s="46" t="n">
        <f aca="false">B7+C7</f>
        <v>21</v>
      </c>
      <c r="E7" s="47" t="n">
        <f aca="false">IFERROR(B7/D7,0)</f>
        <v>0.571428571428571</v>
      </c>
    </row>
    <row r="8" customFormat="false" ht="24" hidden="false" customHeight="true" outlineLevel="0" collapsed="false">
      <c r="A8" s="43" t="s">
        <v>71</v>
      </c>
      <c r="B8" s="48" t="n">
        <f aca="false">SUMIF('📥 Data Source'!E5:E5000,"Porteur",'📥 Data Source'!G5:G5000)</f>
        <v>2660</v>
      </c>
      <c r="C8" s="49" t="n">
        <f aca="false">SUMIF('📥 Data Source'!E5:E5000,"Non porteur",'📥 Data Source'!G5:G5000)</f>
        <v>2185</v>
      </c>
      <c r="D8" s="50" t="n">
        <f aca="false">B8+C8</f>
        <v>4845</v>
      </c>
      <c r="E8" s="47" t="n">
        <f aca="false">IFERROR(B8/D8,0)</f>
        <v>0.549019607843137</v>
      </c>
    </row>
    <row r="9" customFormat="false" ht="24" hidden="false" customHeight="true" outlineLevel="0" collapsed="false">
      <c r="A9" s="43" t="s">
        <v>72</v>
      </c>
      <c r="B9" s="48" t="n">
        <f aca="false">IFERROR(B8/B7,0)</f>
        <v>221.666666666667</v>
      </c>
      <c r="C9" s="49" t="n">
        <f aca="false">IFERROR(C8/C7,0)</f>
        <v>242.777777777778</v>
      </c>
      <c r="D9" s="50" t="n">
        <f aca="false">IFERROR(D8/D7,0)</f>
        <v>230.714285714286</v>
      </c>
      <c r="E9" s="51"/>
    </row>
    <row r="11" customFormat="false" ht="9.75" hidden="false" customHeight="true" outlineLevel="0" collapsed="false"/>
    <row r="12" customFormat="false" ht="25.5" hidden="false" customHeight="true" outlineLevel="0" collapsed="false">
      <c r="A12" s="20" t="s">
        <v>73</v>
      </c>
      <c r="B12" s="20"/>
      <c r="C12" s="20"/>
      <c r="D12" s="20"/>
      <c r="E12" s="20"/>
    </row>
    <row r="13" customFormat="false" ht="33.75" hidden="false" customHeight="true" outlineLevel="0" collapsed="false">
      <c r="A13" s="21" t="s">
        <v>3</v>
      </c>
      <c r="B13" s="21" t="s">
        <v>74</v>
      </c>
      <c r="C13" s="21" t="s">
        <v>75</v>
      </c>
      <c r="D13" s="21" t="s">
        <v>76</v>
      </c>
      <c r="E13" s="21" t="s">
        <v>77</v>
      </c>
    </row>
    <row r="14" customFormat="false" ht="21.75" hidden="false" customHeight="true" outlineLevel="0" collapsed="false">
      <c r="A14" s="22" t="s">
        <v>11</v>
      </c>
      <c r="B14" s="24" t="n">
        <f aca="false">SUMIFS('📥 Data Source'!F5:F5000,'📥 Data Source'!B5:B5000,"A001",'📥 Data Source'!E5:E5000,"Porteur")</f>
        <v>2</v>
      </c>
      <c r="C14" s="24" t="n">
        <f aca="false">SUMIFS('📥 Data Source'!F5:F5000,'📥 Data Source'!B5:B5000,"A001",'📥 Data Source'!E5:E5000,"Non porteur")</f>
        <v>1</v>
      </c>
      <c r="D14" s="25" t="n">
        <f aca="false">SUMIFS('📥 Data Source'!G5:G5000,'📥 Data Source'!B5:B5000,"A001",'📥 Data Source'!E5:E5000,"Porteur")</f>
        <v>430</v>
      </c>
      <c r="E14" s="25" t="n">
        <f aca="false">SUMIFS('📥 Data Source'!G5:G5000,'📥 Data Source'!B5:B5000,"A001",'📥 Data Source'!E5:E5000,"Non porteur")</f>
        <v>200</v>
      </c>
    </row>
    <row r="15" customFormat="false" ht="21.75" hidden="false" customHeight="true" outlineLevel="0" collapsed="false">
      <c r="A15" s="10" t="s">
        <v>16</v>
      </c>
      <c r="B15" s="27" t="n">
        <f aca="false">SUMIFS('📥 Data Source'!F5:F5000,'📥 Data Source'!B5:B5000,"A002",'📥 Data Source'!E5:E5000,"Porteur")</f>
        <v>2</v>
      </c>
      <c r="C15" s="27" t="n">
        <f aca="false">SUMIFS('📥 Data Source'!F5:F5000,'📥 Data Source'!B5:B5000,"A002",'📥 Data Source'!E5:E5000,"Non porteur")</f>
        <v>3</v>
      </c>
      <c r="D15" s="28" t="n">
        <f aca="false">SUMIFS('📥 Data Source'!G5:G5000,'📥 Data Source'!B5:B5000,"A002",'📥 Data Source'!E5:E5000,"Porteur")</f>
        <v>450</v>
      </c>
      <c r="E15" s="28" t="n">
        <f aca="false">SUMIFS('📥 Data Source'!G5:G5000,'📥 Data Source'!B5:B5000,"A002",'📥 Data Source'!E5:E5000,"Non porteur")</f>
        <v>520</v>
      </c>
    </row>
    <row r="16" customFormat="false" ht="21.75" hidden="false" customHeight="true" outlineLevel="0" collapsed="false">
      <c r="A16" s="22" t="s">
        <v>21</v>
      </c>
      <c r="B16" s="24" t="n">
        <f aca="false">SUMIFS('📥 Data Source'!F5:F5000,'📥 Data Source'!B5:B5000,"A003",'📥 Data Source'!E5:E5000,"Porteur")</f>
        <v>3</v>
      </c>
      <c r="C16" s="24" t="n">
        <f aca="false">SUMIFS('📥 Data Source'!F5:F5000,'📥 Data Source'!B5:B5000,"A003",'📥 Data Source'!E5:E5000,"Non porteur")</f>
        <v>1</v>
      </c>
      <c r="D16" s="25" t="n">
        <f aca="false">SUMIFS('📥 Data Source'!G5:G5000,'📥 Data Source'!B5:B5000,"A003",'📥 Data Source'!E5:E5000,"Porteur")</f>
        <v>810</v>
      </c>
      <c r="E16" s="25" t="n">
        <f aca="false">SUMIFS('📥 Data Source'!G5:G5000,'📥 Data Source'!B5:B5000,"A003",'📥 Data Source'!E5:E5000,"Non porteur")</f>
        <v>350</v>
      </c>
    </row>
    <row r="17" customFormat="false" ht="21.75" hidden="false" customHeight="true" outlineLevel="0" collapsed="false">
      <c r="A17" s="10" t="s">
        <v>25</v>
      </c>
      <c r="B17" s="27" t="n">
        <f aca="false">SUMIFS('📥 Data Source'!F5:F5000,'📥 Data Source'!B5:B5000,"A004",'📥 Data Source'!E5:E5000,"Porteur")</f>
        <v>3</v>
      </c>
      <c r="C17" s="27" t="n">
        <f aca="false">SUMIFS('📥 Data Source'!F5:F5000,'📥 Data Source'!B5:B5000,"A004",'📥 Data Source'!E5:E5000,"Non porteur")</f>
        <v>3</v>
      </c>
      <c r="D17" s="28" t="n">
        <f aca="false">SUMIFS('📥 Data Source'!G5:G5000,'📥 Data Source'!B5:B5000,"A004",'📥 Data Source'!E5:E5000,"Porteur")</f>
        <v>600</v>
      </c>
      <c r="E17" s="28" t="n">
        <f aca="false">SUMIFS('📥 Data Source'!G5:G5000,'📥 Data Source'!B5:B5000,"A004",'📥 Data Source'!E5:E5000,"Non porteur")</f>
        <v>840</v>
      </c>
    </row>
    <row r="18" customFormat="false" ht="21.75" hidden="false" customHeight="true" outlineLevel="0" collapsed="false">
      <c r="A18" s="22" t="s">
        <v>29</v>
      </c>
      <c r="B18" s="24" t="n">
        <f aca="false">SUMIFS('📥 Data Source'!F5:F5000,'📥 Data Source'!B5:B5000,"A005",'📥 Data Source'!E5:E5000,"Porteur")</f>
        <v>2</v>
      </c>
      <c r="C18" s="24" t="n">
        <f aca="false">SUMIFS('📥 Data Source'!F5:F5000,'📥 Data Source'!B5:B5000,"A005",'📥 Data Source'!E5:E5000,"Non porteur")</f>
        <v>1</v>
      </c>
      <c r="D18" s="25" t="n">
        <f aca="false">SUMIFS('📥 Data Source'!G5:G5000,'📥 Data Source'!B5:B5000,"A005",'📥 Data Source'!E5:E5000,"Porteur")</f>
        <v>370</v>
      </c>
      <c r="E18" s="25" t="n">
        <f aca="false">SUMIFS('📥 Data Source'!G5:G5000,'📥 Data Source'!B5:B5000,"A005",'📥 Data Source'!E5:E5000,"Non porteur")</f>
        <v>275</v>
      </c>
    </row>
    <row r="19" customFormat="false" ht="25.5" hidden="false" customHeight="true" outlineLevel="0" collapsed="false">
      <c r="A19" s="3" t="s">
        <v>58</v>
      </c>
      <c r="B19" s="30" t="n">
        <f aca="false">SUM(B14:B18)</f>
        <v>12</v>
      </c>
      <c r="C19" s="30" t="n">
        <f aca="false">SUM(C14:C18)</f>
        <v>9</v>
      </c>
      <c r="D19" s="31" t="n">
        <f aca="false">SUM(D14:D18)</f>
        <v>2660</v>
      </c>
      <c r="E19" s="31" t="n">
        <f aca="false">SUM(E14:E18)</f>
        <v>2185</v>
      </c>
    </row>
  </sheetData>
  <mergeCells count="4">
    <mergeCell ref="A1:E1"/>
    <mergeCell ref="A2:E2"/>
    <mergeCell ref="A4:E4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6" min="3" style="0" width="20"/>
  </cols>
  <sheetData>
    <row r="1" customFormat="false" ht="48" hidden="false" customHeight="true" outlineLevel="0" collapsed="false">
      <c r="A1" s="52" t="s">
        <v>78</v>
      </c>
      <c r="B1" s="52"/>
      <c r="C1" s="52"/>
      <c r="D1" s="52"/>
      <c r="E1" s="52"/>
      <c r="F1" s="52"/>
    </row>
    <row r="2" customFormat="false" ht="18" hidden="false" customHeight="true" outlineLevel="0" collapsed="false">
      <c r="A2" s="2" t="s">
        <v>44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5.5" hidden="false" customHeight="true" outlineLevel="0" collapsed="false">
      <c r="A4" s="53" t="s">
        <v>79</v>
      </c>
      <c r="B4" s="53"/>
      <c r="C4" s="53"/>
      <c r="D4" s="53"/>
      <c r="E4" s="53"/>
      <c r="F4" s="53"/>
    </row>
    <row r="5" customFormat="false" ht="33.75" hidden="false" customHeight="true" outlineLevel="0" collapsed="false">
      <c r="A5" s="54" t="s">
        <v>80</v>
      </c>
      <c r="B5" s="54" t="s">
        <v>3</v>
      </c>
      <c r="C5" s="54" t="s">
        <v>54</v>
      </c>
      <c r="D5" s="54" t="s">
        <v>55</v>
      </c>
      <c r="E5" s="54" t="s">
        <v>56</v>
      </c>
      <c r="F5" s="54" t="s">
        <v>57</v>
      </c>
    </row>
    <row r="6" customFormat="false" ht="19.5" hidden="false" customHeight="true" outlineLevel="0" collapsed="false">
      <c r="A6" s="55" t="s">
        <v>34</v>
      </c>
      <c r="B6" s="56" t="s">
        <v>21</v>
      </c>
      <c r="C6" s="57" t="n">
        <f aca="false">SUMIFS('📥 Data Source'!F5:F5000,'📥 Data Source'!A5:A5000,"02042025",'📥 Data Source'!B5:B5000,"A003")</f>
        <v>1</v>
      </c>
      <c r="D6" s="58" t="n">
        <f aca="false">SUMIFS('📥 Data Source'!G5:G5000,'📥 Data Source'!A5:A5000,"02042025",'📥 Data Source'!B5:B5000,"A003")</f>
        <v>350</v>
      </c>
      <c r="E6" s="57" t="n">
        <f aca="false">COUNTIFS('📥 Data Source'!A5:A5000,"02042025",'📥 Data Source'!B5:B5000,"A003",'📥 Data Source'!E5:E5000,"Porteur")</f>
        <v>0</v>
      </c>
      <c r="F6" s="57" t="n">
        <f aca="false">COUNTIFS('📥 Data Source'!A5:A5000,"02042025",'📥 Data Source'!B5:B5000,"A003",'📥 Data Source'!E5:E5000,"Non porteur")</f>
        <v>1</v>
      </c>
    </row>
    <row r="7" customFormat="false" ht="19.5" hidden="false" customHeight="true" outlineLevel="0" collapsed="false">
      <c r="A7" s="59" t="s">
        <v>20</v>
      </c>
      <c r="B7" s="9" t="s">
        <v>21</v>
      </c>
      <c r="C7" s="27" t="n">
        <f aca="false">SUMIFS('📥 Data Source'!F5:F5000,'📥 Data Source'!A5:A5000,"03022025",'📥 Data Source'!B5:B5000,"A003")</f>
        <v>2</v>
      </c>
      <c r="D7" s="28" t="n">
        <f aca="false">SUMIFS('📥 Data Source'!G5:G5000,'📥 Data Source'!A5:A5000,"03022025",'📥 Data Source'!B5:B5000,"A003")</f>
        <v>500</v>
      </c>
      <c r="E7" s="27" t="n">
        <f aca="false">COUNTIFS('📥 Data Source'!A5:A5000,"03022025",'📥 Data Source'!B5:B5000,"A003",'📥 Data Source'!E5:E5000,"Porteur")</f>
        <v>1</v>
      </c>
      <c r="F7" s="27" t="n">
        <f aca="false">COUNTIFS('📥 Data Source'!A5:A5000,"03022025",'📥 Data Source'!B5:B5000,"A003",'📥 Data Source'!E5:E5000,"Non porteur")</f>
        <v>0</v>
      </c>
    </row>
    <row r="8" customFormat="false" ht="19.5" hidden="false" customHeight="true" outlineLevel="0" collapsed="false">
      <c r="A8" s="55" t="s">
        <v>39</v>
      </c>
      <c r="B8" s="56" t="s">
        <v>21</v>
      </c>
      <c r="C8" s="57" t="n">
        <f aca="false">SUMIFS('📥 Data Source'!F5:F5000,'📥 Data Source'!A5:A5000,"04062025",'📥 Data Source'!B5:B5000,"A003")</f>
        <v>1</v>
      </c>
      <c r="D8" s="58" t="n">
        <f aca="false">SUMIFS('📥 Data Source'!G5:G5000,'📥 Data Source'!A5:A5000,"04062025",'📥 Data Source'!B5:B5000,"A003")</f>
        <v>310</v>
      </c>
      <c r="E8" s="57" t="n">
        <f aca="false">COUNTIFS('📥 Data Source'!A5:A5000,"04062025",'📥 Data Source'!B5:B5000,"A003",'📥 Data Source'!E5:E5000,"Porteur")</f>
        <v>1</v>
      </c>
      <c r="F8" s="57" t="n">
        <f aca="false">COUNTIFS('📥 Data Source'!A5:A5000,"04062025",'📥 Data Source'!B5:B5000,"A003",'📥 Data Source'!E5:E5000,"Non porteur")</f>
        <v>0</v>
      </c>
    </row>
    <row r="9" customFormat="false" ht="19.5" hidden="false" customHeight="true" outlineLevel="0" collapsed="false">
      <c r="A9" s="59" t="s">
        <v>36</v>
      </c>
      <c r="B9" s="9" t="s">
        <v>29</v>
      </c>
      <c r="C9" s="27" t="n">
        <f aca="false">SUMIFS('📥 Data Source'!F5:F5000,'📥 Data Source'!A5:A5000,"05052025",'📥 Data Source'!B5:B5000,"A005")</f>
        <v>1</v>
      </c>
      <c r="D9" s="28" t="n">
        <f aca="false">SUMIFS('📥 Data Source'!G5:G5000,'📥 Data Source'!A5:A5000,"05052025",'📥 Data Source'!B5:B5000,"A005")</f>
        <v>275</v>
      </c>
      <c r="E9" s="27" t="n">
        <f aca="false">COUNTIFS('📥 Data Source'!A5:A5000,"05052025",'📥 Data Source'!B5:B5000,"A005",'📥 Data Source'!E5:E5000,"Porteur")</f>
        <v>0</v>
      </c>
      <c r="F9" s="27" t="n">
        <f aca="false">COUNTIFS('📥 Data Source'!A5:A5000,"05052025",'📥 Data Source'!B5:B5000,"A005",'📥 Data Source'!E5:E5000,"Non porteur")</f>
        <v>1</v>
      </c>
    </row>
    <row r="10" customFormat="false" ht="19.5" hidden="false" customHeight="true" outlineLevel="0" collapsed="false">
      <c r="A10" s="55" t="s">
        <v>32</v>
      </c>
      <c r="B10" s="56" t="s">
        <v>11</v>
      </c>
      <c r="C10" s="57" t="n">
        <f aca="false">SUMIFS('📥 Data Source'!F5:F5000,'📥 Data Source'!A5:A5000,"10032025",'📥 Data Source'!B5:B5000,"A001")</f>
        <v>1</v>
      </c>
      <c r="D10" s="58" t="n">
        <f aca="false">SUMIFS('📥 Data Source'!G5:G5000,'📥 Data Source'!A5:A5000,"10032025",'📥 Data Source'!B5:B5000,"A001")</f>
        <v>200</v>
      </c>
      <c r="E10" s="57" t="n">
        <f aca="false">COUNTIFS('📥 Data Source'!A5:A5000,"10032025",'📥 Data Source'!B5:B5000,"A001",'📥 Data Source'!E5:E5000,"Porteur")</f>
        <v>0</v>
      </c>
      <c r="F10" s="57" t="n">
        <f aca="false">COUNTIFS('📥 Data Source'!A5:A5000,"10032025",'📥 Data Source'!B5:B5000,"A001",'📥 Data Source'!E5:E5000,"Non porteur")</f>
        <v>1</v>
      </c>
    </row>
    <row r="11" customFormat="false" ht="19.5" hidden="false" customHeight="true" outlineLevel="0" collapsed="false">
      <c r="A11" s="59" t="s">
        <v>37</v>
      </c>
      <c r="B11" s="9" t="s">
        <v>11</v>
      </c>
      <c r="C11" s="27" t="n">
        <f aca="false">SUMIFS('📥 Data Source'!F5:F5000,'📥 Data Source'!A5:A5000,"12052025",'📥 Data Source'!B5:B5000,"A001")</f>
        <v>1</v>
      </c>
      <c r="D11" s="28" t="n">
        <f aca="false">SUMIFS('📥 Data Source'!G5:G5000,'📥 Data Source'!A5:A5000,"12052025",'📥 Data Source'!B5:B5000,"A001")</f>
        <v>180</v>
      </c>
      <c r="E11" s="27" t="n">
        <f aca="false">COUNTIFS('📥 Data Source'!A5:A5000,"12052025",'📥 Data Source'!B5:B5000,"A001",'📥 Data Source'!E5:E5000,"Porteur")</f>
        <v>1</v>
      </c>
      <c r="F11" s="27" t="n">
        <f aca="false">COUNTIFS('📥 Data Source'!A5:A5000,"12052025",'📥 Data Source'!B5:B5000,"A001",'📥 Data Source'!E5:E5000,"Non porteur")</f>
        <v>0</v>
      </c>
    </row>
    <row r="12" customFormat="false" ht="19.5" hidden="false" customHeight="true" outlineLevel="0" collapsed="false">
      <c r="A12" s="55" t="s">
        <v>24</v>
      </c>
      <c r="B12" s="56" t="s">
        <v>25</v>
      </c>
      <c r="C12" s="57" t="n">
        <f aca="false">SUMIFS('📥 Data Source'!F5:F5000,'📥 Data Source'!A5:A5000,"14022025",'📥 Data Source'!B5:B5000,"A004")</f>
        <v>1</v>
      </c>
      <c r="D12" s="58" t="n">
        <f aca="false">SUMIFS('📥 Data Source'!G5:G5000,'📥 Data Source'!A5:A5000,"14022025",'📥 Data Source'!B5:B5000,"A004")</f>
        <v>300</v>
      </c>
      <c r="E12" s="57" t="n">
        <f aca="false">COUNTIFS('📥 Data Source'!A5:A5000,"14022025",'📥 Data Source'!B5:B5000,"A004",'📥 Data Source'!E5:E5000,"Porteur")</f>
        <v>0</v>
      </c>
      <c r="F12" s="57" t="n">
        <f aca="false">COUNTIFS('📥 Data Source'!A5:A5000,"14022025",'📥 Data Source'!B5:B5000,"A004",'📥 Data Source'!E5:E5000,"Non porteur")</f>
        <v>1</v>
      </c>
    </row>
    <row r="13" customFormat="false" ht="19.5" hidden="false" customHeight="true" outlineLevel="0" collapsed="false">
      <c r="A13" s="59" t="s">
        <v>10</v>
      </c>
      <c r="B13" s="9" t="s">
        <v>11</v>
      </c>
      <c r="C13" s="27" t="n">
        <f aca="false">SUMIFS('📥 Data Source'!F5:F5000,'📥 Data Source'!A5:A5000,"15012025",'📥 Data Source'!B5:B5000,"A001")</f>
        <v>1</v>
      </c>
      <c r="D13" s="28" t="n">
        <f aca="false">SUMIFS('📥 Data Source'!G5:G5000,'📥 Data Source'!A5:A5000,"15012025",'📥 Data Source'!B5:B5000,"A001")</f>
        <v>250</v>
      </c>
      <c r="E13" s="27" t="n">
        <f aca="false">COUNTIFS('📥 Data Source'!A5:A5000,"15012025",'📥 Data Source'!B5:B5000,"A001",'📥 Data Source'!E5:E5000,"Porteur")</f>
        <v>1</v>
      </c>
      <c r="F13" s="27" t="n">
        <f aca="false">COUNTIFS('📥 Data Source'!A5:A5000,"15012025",'📥 Data Source'!B5:B5000,"A001",'📥 Data Source'!E5:E5000,"Non porteur")</f>
        <v>0</v>
      </c>
    </row>
    <row r="14" customFormat="false" ht="19.5" hidden="false" customHeight="true" outlineLevel="0" collapsed="false">
      <c r="A14" s="55" t="s">
        <v>35</v>
      </c>
      <c r="B14" s="56" t="s">
        <v>25</v>
      </c>
      <c r="C14" s="57" t="n">
        <f aca="false">SUMIFS('📥 Data Source'!F5:F5000,'📥 Data Source'!A5:A5000,"18042025",'📥 Data Source'!B5:B5000,"A004")</f>
        <v>3</v>
      </c>
      <c r="D14" s="58" t="n">
        <f aca="false">SUMIFS('📥 Data Source'!G5:G5000,'📥 Data Source'!A5:A5000,"18042025",'📥 Data Source'!B5:B5000,"A004")</f>
        <v>600</v>
      </c>
      <c r="E14" s="57" t="n">
        <f aca="false">COUNTIFS('📥 Data Source'!A5:A5000,"18042025",'📥 Data Source'!B5:B5000,"A004",'📥 Data Source'!E5:E5000,"Porteur")</f>
        <v>1</v>
      </c>
      <c r="F14" s="57" t="n">
        <f aca="false">COUNTIFS('📥 Data Source'!A5:A5000,"18042025",'📥 Data Source'!B5:B5000,"A004",'📥 Data Source'!E5:E5000,"Non porteur")</f>
        <v>0</v>
      </c>
    </row>
    <row r="15" customFormat="false" ht="19.5" hidden="false" customHeight="true" outlineLevel="0" collapsed="false">
      <c r="A15" s="59" t="s">
        <v>40</v>
      </c>
      <c r="B15" s="9" t="s">
        <v>25</v>
      </c>
      <c r="C15" s="27" t="n">
        <f aca="false">SUMIFS('📥 Data Source'!F5:F5000,'📥 Data Source'!A5:A5000,"19062025",'📥 Data Source'!B5:B5000,"A004")</f>
        <v>2</v>
      </c>
      <c r="D15" s="28" t="n">
        <f aca="false">SUMIFS('📥 Data Source'!G5:G5000,'📥 Data Source'!A5:A5000,"19062025",'📥 Data Source'!B5:B5000,"A004")</f>
        <v>540</v>
      </c>
      <c r="E15" s="27" t="n">
        <f aca="false">COUNTIFS('📥 Data Source'!A5:A5000,"19062025",'📥 Data Source'!B5:B5000,"A004",'📥 Data Source'!E5:E5000,"Porteur")</f>
        <v>0</v>
      </c>
      <c r="F15" s="27" t="n">
        <f aca="false">COUNTIFS('📥 Data Source'!A5:A5000,"19062025",'📥 Data Source'!B5:B5000,"A004",'📥 Data Source'!E5:E5000,"Non porteur")</f>
        <v>1</v>
      </c>
    </row>
    <row r="16" customFormat="false" ht="19.5" hidden="false" customHeight="true" outlineLevel="0" collapsed="false">
      <c r="A16" s="55" t="s">
        <v>15</v>
      </c>
      <c r="B16" s="56" t="s">
        <v>16</v>
      </c>
      <c r="C16" s="57" t="n">
        <f aca="false">SUMIFS('📥 Data Source'!F5:F5000,'📥 Data Source'!A5:A5000,"22012025",'📥 Data Source'!B5:B5000,"A002")</f>
        <v>1</v>
      </c>
      <c r="D16" s="58" t="n">
        <f aca="false">SUMIFS('📥 Data Source'!G5:G5000,'📥 Data Source'!A5:A5000,"22012025",'📥 Data Source'!B5:B5000,"A002")</f>
        <v>100</v>
      </c>
      <c r="E16" s="57" t="n">
        <f aca="false">COUNTIFS('📥 Data Source'!A5:A5000,"22012025",'📥 Data Source'!B5:B5000,"A002",'📥 Data Source'!E5:E5000,"Porteur")</f>
        <v>0</v>
      </c>
      <c r="F16" s="57" t="n">
        <f aca="false">COUNTIFS('📥 Data Source'!A5:A5000,"22012025",'📥 Data Source'!B5:B5000,"A002",'📥 Data Source'!E5:E5000,"Non porteur")</f>
        <v>1</v>
      </c>
    </row>
    <row r="17" customFormat="false" ht="19.5" hidden="false" customHeight="true" outlineLevel="0" collapsed="false">
      <c r="A17" s="59" t="s">
        <v>33</v>
      </c>
      <c r="B17" s="9" t="s">
        <v>16</v>
      </c>
      <c r="C17" s="27" t="n">
        <f aca="false">SUMIFS('📥 Data Source'!F5:F5000,'📥 Data Source'!A5:A5000,"25032025",'📥 Data Source'!B5:B5000,"A002")</f>
        <v>2</v>
      </c>
      <c r="D17" s="28" t="n">
        <f aca="false">SUMIFS('📥 Data Source'!G5:G5000,'📥 Data Source'!A5:A5000,"25032025",'📥 Data Source'!B5:B5000,"A002")</f>
        <v>450</v>
      </c>
      <c r="E17" s="27" t="n">
        <f aca="false">COUNTIFS('📥 Data Source'!A5:A5000,"25032025",'📥 Data Source'!B5:B5000,"A002",'📥 Data Source'!E5:E5000,"Porteur")</f>
        <v>1</v>
      </c>
      <c r="F17" s="27" t="n">
        <f aca="false">COUNTIFS('📥 Data Source'!A5:A5000,"25032025",'📥 Data Source'!B5:B5000,"A002",'📥 Data Source'!E5:E5000,"Non porteur")</f>
        <v>0</v>
      </c>
    </row>
    <row r="18" customFormat="false" ht="19.5" hidden="false" customHeight="true" outlineLevel="0" collapsed="false">
      <c r="A18" s="55" t="s">
        <v>28</v>
      </c>
      <c r="B18" s="56" t="s">
        <v>29</v>
      </c>
      <c r="C18" s="57" t="n">
        <f aca="false">SUMIFS('📥 Data Source'!F5:F5000,'📥 Data Source'!A5:A5000,"28022025",'📥 Data Source'!B5:B5000,"A005")</f>
        <v>1</v>
      </c>
      <c r="D18" s="58" t="n">
        <f aca="false">SUMIFS('📥 Data Source'!G5:G5000,'📥 Data Source'!A5:A5000,"28022025",'📥 Data Source'!B5:B5000,"A005")</f>
        <v>150</v>
      </c>
      <c r="E18" s="57" t="n">
        <f aca="false">COUNTIFS('📥 Data Source'!A5:A5000,"28022025",'📥 Data Source'!B5:B5000,"A005",'📥 Data Source'!E5:E5000,"Porteur")</f>
        <v>1</v>
      </c>
      <c r="F18" s="57" t="n">
        <f aca="false">COUNTIFS('📥 Data Source'!A5:A5000,"28022025",'📥 Data Source'!B5:B5000,"A005",'📥 Data Source'!E5:E5000,"Non porteur")</f>
        <v>0</v>
      </c>
    </row>
    <row r="19" customFormat="false" ht="19.5" hidden="false" customHeight="true" outlineLevel="0" collapsed="false">
      <c r="A19" s="59" t="s">
        <v>38</v>
      </c>
      <c r="B19" s="9" t="s">
        <v>16</v>
      </c>
      <c r="C19" s="27" t="n">
        <f aca="false">SUMIFS('📥 Data Source'!F5:F5000,'📥 Data Source'!A5:A5000,"28052025",'📥 Data Source'!B5:B5000,"A002")</f>
        <v>2</v>
      </c>
      <c r="D19" s="28" t="n">
        <f aca="false">SUMIFS('📥 Data Source'!G5:G5000,'📥 Data Source'!A5:A5000,"28052025",'📥 Data Source'!B5:B5000,"A002")</f>
        <v>420</v>
      </c>
      <c r="E19" s="27" t="n">
        <f aca="false">COUNTIFS('📥 Data Source'!A5:A5000,"28052025",'📥 Data Source'!B5:B5000,"A002",'📥 Data Source'!E5:E5000,"Porteur")</f>
        <v>0</v>
      </c>
      <c r="F19" s="27" t="n">
        <f aca="false">COUNTIFS('📥 Data Source'!A5:A5000,"28052025",'📥 Data Source'!B5:B5000,"A002",'📥 Data Source'!E5:E5000,"Non porteur")</f>
        <v>1</v>
      </c>
    </row>
    <row r="20" customFormat="false" ht="19.5" hidden="false" customHeight="true" outlineLevel="0" collapsed="false">
      <c r="A20" s="55" t="s">
        <v>41</v>
      </c>
      <c r="B20" s="56" t="s">
        <v>29</v>
      </c>
      <c r="C20" s="57" t="n">
        <f aca="false">SUMIFS('📥 Data Source'!F5:F5000,'📥 Data Source'!A5:A5000,"30062025",'📥 Data Source'!B5:B5000,"A005")</f>
        <v>1</v>
      </c>
      <c r="D20" s="58" t="n">
        <f aca="false">SUMIFS('📥 Data Source'!G5:G5000,'📥 Data Source'!A5:A5000,"30062025",'📥 Data Source'!B5:B5000,"A005")</f>
        <v>220</v>
      </c>
      <c r="E20" s="57" t="n">
        <f aca="false">COUNTIFS('📥 Data Source'!A5:A5000,"30062025",'📥 Data Source'!B5:B5000,"A005",'📥 Data Source'!E5:E5000,"Porteur")</f>
        <v>1</v>
      </c>
      <c r="F20" s="57" t="n">
        <f aca="false">COUNTIFS('📥 Data Source'!A5:A5000,"30062025",'📥 Data Source'!B5:B5000,"A005",'📥 Data Source'!E5:E5000,"Non porteur")</f>
        <v>0</v>
      </c>
    </row>
    <row r="21" customFormat="false" ht="25.5" hidden="false" customHeight="true" outlineLevel="0" collapsed="false">
      <c r="A21" s="60" t="s">
        <v>58</v>
      </c>
      <c r="B21" s="61"/>
      <c r="C21" s="62" t="n">
        <f aca="false">SUM(C6:C20)</f>
        <v>21</v>
      </c>
      <c r="D21" s="63" t="n">
        <f aca="false">SUM(D6:D20)</f>
        <v>4845</v>
      </c>
      <c r="E21" s="62" t="n">
        <f aca="false">SUM(E6:E20)</f>
        <v>8</v>
      </c>
      <c r="F21" s="62" t="n">
        <f aca="false">SUM(F6:F20)</f>
        <v>7</v>
      </c>
    </row>
  </sheetData>
  <mergeCells count="3">
    <mergeCell ref="A1:F1"/>
    <mergeCell ref="A2:F2"/>
    <mergeCell ref="A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0"/>
  </cols>
  <sheetData>
    <row r="1" customFormat="false" ht="48" hidden="false" customHeight="true" outlineLevel="0" collapsed="false">
      <c r="A1" s="64" t="s">
        <v>81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customFormat="false" ht="18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5.5" hidden="false" customHeight="true" outlineLevel="0" collapsed="false">
      <c r="A3" s="20" t="s">
        <v>83</v>
      </c>
      <c r="B3" s="20"/>
      <c r="C3" s="20"/>
      <c r="D3" s="20"/>
      <c r="E3" s="20"/>
      <c r="F3" s="20"/>
      <c r="G3" s="20"/>
      <c r="H3" s="20"/>
      <c r="I3" s="33" t="s">
        <v>84</v>
      </c>
      <c r="J3" s="33"/>
      <c r="K3" s="33"/>
      <c r="L3" s="33"/>
      <c r="M3" s="33"/>
      <c r="N3" s="33"/>
      <c r="O3" s="33"/>
      <c r="P3" s="33"/>
    </row>
    <row r="22" customFormat="false" ht="25.5" hidden="false" customHeight="true" outlineLevel="0" collapsed="false">
      <c r="A22" s="53" t="s">
        <v>85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</row>
  </sheetData>
  <mergeCells count="5">
    <mergeCell ref="A1:P1"/>
    <mergeCell ref="A2:P2"/>
    <mergeCell ref="A3:H3"/>
    <mergeCell ref="I3:P3"/>
    <mergeCell ref="A22:P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6"/>
  </cols>
  <sheetData>
    <row r="1" customFormat="false" ht="15" hidden="false" customHeight="false" outlineLevel="0" collapsed="false">
      <c r="A1" s="0" t="s">
        <v>3</v>
      </c>
      <c r="B1" s="0" t="s">
        <v>86</v>
      </c>
      <c r="C1" s="0" t="s">
        <v>87</v>
      </c>
      <c r="D1" s="0" t="s">
        <v>88</v>
      </c>
      <c r="F1" s="0" t="s">
        <v>89</v>
      </c>
      <c r="G1" s="0" t="s">
        <v>90</v>
      </c>
      <c r="I1" s="0" t="s">
        <v>91</v>
      </c>
      <c r="J1" s="0" t="s">
        <v>92</v>
      </c>
    </row>
    <row r="2" customFormat="false" ht="15" hidden="false" customHeight="false" outlineLevel="0" collapsed="false">
      <c r="A2" s="0" t="s">
        <v>11</v>
      </c>
      <c r="B2" s="0" t="n">
        <f aca="false">SUMIF('📥 Data Source'!B5:B5000,"A001",'📥 Data Source'!F5:F5000)</f>
        <v>3</v>
      </c>
      <c r="C2" s="0" t="n">
        <f aca="false">SUMIFS('📥 Data Source'!F5:F5000,'📥 Data Source'!B5:B5000,"A001",'📥 Data Source'!E5:E5000,"Porteur")</f>
        <v>2</v>
      </c>
      <c r="D2" s="0" t="n">
        <f aca="false">SUMIFS('📥 Data Source'!F5:F5000,'📥 Data Source'!B5:B5000,"A001",'📥 Data Source'!E5:E5000,"Non porteur")</f>
        <v>1</v>
      </c>
      <c r="F2" s="0" t="s">
        <v>14</v>
      </c>
      <c r="G2" s="0" t="n">
        <f aca="false">SUMIF('📥 Data Source'!E5:E5000,"Porteur",'📥 Data Source'!F5:F5000)</f>
        <v>12</v>
      </c>
      <c r="I2" s="0" t="s">
        <v>10</v>
      </c>
      <c r="J2" s="0" t="n">
        <f aca="false">SUMIF('📥 Data Source'!A5:A5000,"15012025",'📥 Data Source'!G5:G5000)</f>
        <v>250</v>
      </c>
    </row>
    <row r="3" customFormat="false" ht="15" hidden="false" customHeight="false" outlineLevel="0" collapsed="false">
      <c r="A3" s="0" t="s">
        <v>16</v>
      </c>
      <c r="B3" s="0" t="n">
        <f aca="false">SUMIF('📥 Data Source'!B5:B5000,"A002",'📥 Data Source'!F5:F5000)</f>
        <v>5</v>
      </c>
      <c r="C3" s="0" t="n">
        <f aca="false">SUMIFS('📥 Data Source'!F5:F5000,'📥 Data Source'!B5:B5000,"A002",'📥 Data Source'!E5:E5000,"Porteur")</f>
        <v>2</v>
      </c>
      <c r="D3" s="0" t="n">
        <f aca="false">SUMIFS('📥 Data Source'!F5:F5000,'📥 Data Source'!B5:B5000,"A002",'📥 Data Source'!E5:E5000,"Non porteur")</f>
        <v>3</v>
      </c>
      <c r="F3" s="0" t="s">
        <v>19</v>
      </c>
      <c r="G3" s="0" t="n">
        <f aca="false">SUMIF('📥 Data Source'!E5:E5000,"Non porteur",'📥 Data Source'!F5:F5000)</f>
        <v>9</v>
      </c>
      <c r="I3" s="0" t="s">
        <v>15</v>
      </c>
      <c r="J3" s="0" t="n">
        <f aca="false">SUMIF('📥 Data Source'!A5:A5000,"22012025",'📥 Data Source'!G5:G5000)</f>
        <v>100</v>
      </c>
    </row>
    <row r="4" customFormat="false" ht="15" hidden="false" customHeight="false" outlineLevel="0" collapsed="false">
      <c r="A4" s="0" t="s">
        <v>21</v>
      </c>
      <c r="B4" s="0" t="n">
        <f aca="false">SUMIF('📥 Data Source'!B5:B5000,"A003",'📥 Data Source'!F5:F5000)</f>
        <v>4</v>
      </c>
      <c r="C4" s="0" t="n">
        <f aca="false">SUMIFS('📥 Data Source'!F5:F5000,'📥 Data Source'!B5:B5000,"A003",'📥 Data Source'!E5:E5000,"Porteur")</f>
        <v>3</v>
      </c>
      <c r="D4" s="0" t="n">
        <f aca="false">SUMIFS('📥 Data Source'!F5:F5000,'📥 Data Source'!B5:B5000,"A003",'📥 Data Source'!E5:E5000,"Non porteur")</f>
        <v>1</v>
      </c>
      <c r="I4" s="0" t="s">
        <v>20</v>
      </c>
      <c r="J4" s="0" t="n">
        <f aca="false">SUMIF('📥 Data Source'!A5:A5000,"03022025",'📥 Data Source'!G5:G5000)</f>
        <v>500</v>
      </c>
    </row>
    <row r="5" customFormat="false" ht="15" hidden="false" customHeight="false" outlineLevel="0" collapsed="false">
      <c r="A5" s="0" t="s">
        <v>25</v>
      </c>
      <c r="B5" s="0" t="n">
        <f aca="false">SUMIF('📥 Data Source'!B5:B5000,"A004",'📥 Data Source'!F5:F5000)</f>
        <v>6</v>
      </c>
      <c r="C5" s="0" t="n">
        <f aca="false">SUMIFS('📥 Data Source'!F5:F5000,'📥 Data Source'!B5:B5000,"A004",'📥 Data Source'!E5:E5000,"Porteur")</f>
        <v>3</v>
      </c>
      <c r="D5" s="0" t="n">
        <f aca="false">SUMIFS('📥 Data Source'!F5:F5000,'📥 Data Source'!B5:B5000,"A004",'📥 Data Source'!E5:E5000,"Non porteur")</f>
        <v>3</v>
      </c>
      <c r="I5" s="0" t="s">
        <v>24</v>
      </c>
      <c r="J5" s="0" t="n">
        <f aca="false">SUMIF('📥 Data Source'!A5:A5000,"14022025",'📥 Data Source'!G5:G5000)</f>
        <v>300</v>
      </c>
    </row>
    <row r="6" customFormat="false" ht="15" hidden="false" customHeight="false" outlineLevel="0" collapsed="false">
      <c r="A6" s="0" t="s">
        <v>29</v>
      </c>
      <c r="B6" s="0" t="n">
        <f aca="false">SUMIF('📥 Data Source'!B5:B5000,"A005",'📥 Data Source'!F5:F5000)</f>
        <v>3</v>
      </c>
      <c r="C6" s="0" t="n">
        <f aca="false">SUMIFS('📥 Data Source'!F5:F5000,'📥 Data Source'!B5:B5000,"A005",'📥 Data Source'!E5:E5000,"Porteur")</f>
        <v>2</v>
      </c>
      <c r="D6" s="0" t="n">
        <f aca="false">SUMIFS('📥 Data Source'!F5:F5000,'📥 Data Source'!B5:B5000,"A005",'📥 Data Source'!E5:E5000,"Non porteur")</f>
        <v>1</v>
      </c>
      <c r="I6" s="0" t="s">
        <v>28</v>
      </c>
      <c r="J6" s="0" t="n">
        <f aca="false">SUMIF('📥 Data Source'!A5:A5000,"28022025",'📥 Data Source'!G5:G5000)</f>
        <v>150</v>
      </c>
    </row>
    <row r="7" customFormat="false" ht="15" hidden="false" customHeight="false" outlineLevel="0" collapsed="false">
      <c r="I7" s="0" t="s">
        <v>32</v>
      </c>
      <c r="J7" s="0" t="n">
        <f aca="false">SUMIF('📥 Data Source'!A5:A5000,"10032025",'📥 Data Source'!G5:G5000)</f>
        <v>200</v>
      </c>
    </row>
    <row r="8" customFormat="false" ht="15" hidden="false" customHeight="false" outlineLevel="0" collapsed="false">
      <c r="I8" s="0" t="s">
        <v>33</v>
      </c>
      <c r="J8" s="0" t="n">
        <f aca="false">SUMIF('📥 Data Source'!A5:A5000,"25032025",'📥 Data Source'!G5:G5000)</f>
        <v>450</v>
      </c>
    </row>
    <row r="9" customFormat="false" ht="15" hidden="false" customHeight="false" outlineLevel="0" collapsed="false">
      <c r="I9" s="0" t="s">
        <v>34</v>
      </c>
      <c r="J9" s="0" t="n">
        <f aca="false">SUMIF('📥 Data Source'!A5:A5000,"02042025",'📥 Data Source'!G5:G5000)</f>
        <v>350</v>
      </c>
    </row>
    <row r="10" customFormat="false" ht="15" hidden="false" customHeight="false" outlineLevel="0" collapsed="false">
      <c r="I10" s="0" t="s">
        <v>35</v>
      </c>
      <c r="J10" s="0" t="n">
        <f aca="false">SUMIF('📥 Data Source'!A5:A5000,"18042025",'📥 Data Source'!G5:G5000)</f>
        <v>600</v>
      </c>
    </row>
    <row r="11" customFormat="false" ht="15" hidden="false" customHeight="false" outlineLevel="0" collapsed="false">
      <c r="I11" s="0" t="s">
        <v>36</v>
      </c>
      <c r="J11" s="0" t="n">
        <f aca="false">SUMIF('📥 Data Source'!A5:A5000,"05052025",'📥 Data Source'!G5:G5000)</f>
        <v>275</v>
      </c>
    </row>
    <row r="12" customFormat="false" ht="15" hidden="false" customHeight="false" outlineLevel="0" collapsed="false">
      <c r="I12" s="0" t="s">
        <v>37</v>
      </c>
      <c r="J12" s="0" t="n">
        <f aca="false">SUMIF('📥 Data Source'!A5:A5000,"12052025",'📥 Data Source'!G5:G5000)</f>
        <v>180</v>
      </c>
    </row>
    <row r="13" customFormat="false" ht="15" hidden="false" customHeight="false" outlineLevel="0" collapsed="false">
      <c r="I13" s="0" t="s">
        <v>38</v>
      </c>
      <c r="J13" s="0" t="n">
        <f aca="false">SUMIF('📥 Data Source'!A5:A5000,"28052025",'📥 Data Source'!G5:G5000)</f>
        <v>420</v>
      </c>
    </row>
    <row r="14" customFormat="false" ht="15" hidden="false" customHeight="false" outlineLevel="0" collapsed="false">
      <c r="I14" s="0" t="s">
        <v>39</v>
      </c>
      <c r="J14" s="0" t="n">
        <f aca="false">SUMIF('📥 Data Source'!A5:A5000,"04062025",'📥 Data Source'!G5:G5000)</f>
        <v>310</v>
      </c>
    </row>
    <row r="15" customFormat="false" ht="15" hidden="false" customHeight="false" outlineLevel="0" collapsed="false">
      <c r="I15" s="0" t="s">
        <v>40</v>
      </c>
      <c r="J15" s="0" t="n">
        <f aca="false">SUMIF('📥 Data Source'!A5:A5000,"19062025",'📥 Data Source'!G5:G5000)</f>
        <v>540</v>
      </c>
    </row>
    <row r="16" customFormat="false" ht="15" hidden="false" customHeight="false" outlineLevel="0" collapsed="false">
      <c r="I16" s="0" t="s">
        <v>41</v>
      </c>
      <c r="J16" s="0" t="n">
        <f aca="false">SUMIF('📥 Data Source'!A5:A5000,"30062025",'📥 Data Source'!G5:G5000)</f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2026-06-02T11:06:53Z</dcterms:created>
  <dc:creator>openpyxl</dc:creator>
  <dc:description/>
  <dc:language>en-US</dc:language>
  <cp:lastModifiedBy/>
  <dcterms:modified xsi:type="dcterms:W3CDTF">2026-06-02T11:06:59Z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